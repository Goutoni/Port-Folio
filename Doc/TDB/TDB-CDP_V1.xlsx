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ête" sheetId="1" r:id="rId4"/>
    <sheet state="visible" name="Coût" sheetId="2" r:id="rId5"/>
    <sheet state="visible" name="Stock_TDB_SAE1" sheetId="3" r:id="rId6"/>
  </sheets>
  <definedNames/>
  <calcPr/>
  <extLst>
    <ext uri="GoogleSheetsCustomDataVersion2">
      <go:sheetsCustomData xmlns:go="http://customooxmlschemas.google.com/" r:id="rId7" roundtripDataChecksum="C21lfKI1ulutsEdGNDz8RJ3MVym0EGOfv7h96/8FSj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9">
      <text>
        <t xml:space="preserve">======
ID#AAABtElW2xM
    (2025-10-21 14:15:05)
Coût horaire d'un technicien supérieur est d'environ 40 euros</t>
      </text>
    </comment>
    <comment authorId="0" ref="A3">
      <text>
        <t xml:space="preserve">======
ID#AAABtElW2xQ
    (2025-10-21 14:15:05)
Recopier ici les repères topologiques des composants</t>
      </text>
    </comment>
    <comment authorId="0" ref="B3">
      <text>
        <t xml:space="preserve">======
ID#AAABtElW2xI
    (2025-10-21 14:15:05)
Recopier ici les lignes pertinentes de l'onglet « Stock_TDB_SAE1 » en y précisant les quantités souhaitées</t>
      </text>
    </comment>
  </commentList>
  <extLst>
    <ext uri="GoogleSheetsCustomDataVersion2">
      <go:sheetsCustomData xmlns:go="http://customooxmlschemas.google.com/" r:id="rId1" roundtripDataSignature="AMtx7mgjg1MxUhtxMBCtNuX/6M6v4YaqOg=="/>
    </ext>
  </extLst>
</comments>
</file>

<file path=xl/sharedStrings.xml><?xml version="1.0" encoding="utf-8"?>
<sst xmlns="http://schemas.openxmlformats.org/spreadsheetml/2006/main" count="640" uniqueCount="357">
  <si>
    <t>COUT DU PROJET (CDP)</t>
  </si>
  <si>
    <t>Etape du projet :</t>
  </si>
  <si>
    <t>Action</t>
  </si>
  <si>
    <t>NOM Prénom</t>
  </si>
  <si>
    <t>Fonction</t>
  </si>
  <si>
    <t>Date</t>
  </si>
  <si>
    <t>Signature</t>
  </si>
  <si>
    <t>Document
complété par</t>
  </si>
  <si>
    <t>Techniciens</t>
  </si>
  <si>
    <t xml:space="preserve">/      /    </t>
  </si>
  <si>
    <t>Coût
validé par</t>
  </si>
  <si>
    <t>Chef de projet</t>
  </si>
  <si>
    <t>IUT de Bordeaux</t>
  </si>
  <si>
    <t>Référence : TDB_CDP</t>
  </si>
  <si>
    <t>1 / 3</t>
  </si>
  <si>
    <t>Département GEII</t>
  </si>
  <si>
    <t>Révision : 1.0 – 01/09/2021</t>
  </si>
  <si>
    <t>Repère
Topologique</t>
  </si>
  <si>
    <t>Référence fabricant</t>
  </si>
  <si>
    <t>Référence distributeur</t>
  </si>
  <si>
    <t>Coût unitaire hors taxes</t>
  </si>
  <si>
    <t>Quantité</t>
  </si>
  <si>
    <t>Coût partiel hors taxes</t>
  </si>
  <si>
    <t>Fournisseur</t>
  </si>
  <si>
    <t>Lien internet</t>
  </si>
  <si>
    <t>Portes logiques</t>
  </si>
  <si>
    <t>SN74HC00N Porte NON-ET, 74HC00, 2 entrées, 5.2 mA, 2 V à 6 V, DIP-14</t>
  </si>
  <si>
    <t>farnell</t>
  </si>
  <si>
    <t>Accessoires</t>
  </si>
  <si>
    <t>SPC15494 Support CI, 8 Contact(s), Fiche femelle DIP, 2.54 mm, 7.62 mm, Bronze phosphoreux</t>
  </si>
  <si>
    <t>Amplificateurs opérationnels</t>
  </si>
  <si>
    <t>MCP6002-I/P Amplificateur opérationnel, Double, 2 amplificateurs, 1 MHz, 0.6 V/µs, 1.8V à 6V, DIP, 8 Broche(s)</t>
  </si>
  <si>
    <t>Capteurs de température</t>
  </si>
  <si>
    <t>LM35DZ/LFT1 CI de capteur de température, Analogique, ±0,5°C, 0 °C, 100 °C, TO-92, 3 Broche(s)</t>
  </si>
  <si>
    <t>Diodes électroluminescentes</t>
  </si>
  <si>
    <t>TLDR4900 LED, Intensité élevée, Rouge, Traversant, T-1 (3mm), 20 mA, 1.8 V, 650 nm</t>
  </si>
  <si>
    <t>HLMP-Y801-JPP00 LED, Vert, Traversant, T-1 (3mm), 20 mA, 2.1 V, 572 nm</t>
  </si>
  <si>
    <t>MP000436 LED, Bleu, Traversant, T-1 (3mm), 20 mA, 3.1 V, 467 nm</t>
  </si>
  <si>
    <t>Interrupteurs et Boutons poussoirs</t>
  </si>
  <si>
    <t>JS202011AQN Commutateur à glissière, DPDT, On-On, Traversant, JS, 300 mA</t>
  </si>
  <si>
    <t>Régulateurs linéaires</t>
  </si>
  <si>
    <t>LM78L05ACZ/NOPB Régulateur de tension linéaire, 7805, fixe, 3 broches, Entrée 7V à 30V, Sortie 5V et 0.1A, TO-92-3</t>
  </si>
  <si>
    <t>Résistances</t>
  </si>
  <si>
    <t>MP006880 Résistance traversante, 100 ohm, 250 mW, ± 5%, Axial, 250 V</t>
  </si>
  <si>
    <t>MP006891 Résistance traversante, 300 ohm, 250 mW, ± 5%, Axial, 250 V</t>
  </si>
  <si>
    <t>MP006900 Résistance traversante, 680 ohm, 250 mW, ± 5%, Axial, 250 V</t>
  </si>
  <si>
    <t>MP006904 Résistance traversante, 1 kohm, 250 mW, ± 5%, Axial, 250 V</t>
  </si>
  <si>
    <t>MP006917 Résistance traversante, 3.6 kohm, 250 mW, ± 5%, Axial, 250 V</t>
  </si>
  <si>
    <t>MP006920 Résistance traversante, 4.7 kohm, 250 mW, ± 5%, Axial, 250 V</t>
  </si>
  <si>
    <t>MP006933 Résistance traversante, 16 kohm, 250 mW, ± 5%, Axial, 250 V</t>
  </si>
  <si>
    <t>MP006939 Résistance traversante, 30 kohm, 250 mW, ± 5%, Axial, 250 V</t>
  </si>
  <si>
    <t>Circuits imprimés</t>
  </si>
  <si>
    <t>AB60 Carte de prototypage, Présensibilisé, Epoxy, 300mm x 600mm</t>
  </si>
  <si>
    <t>Condensateurs</t>
  </si>
  <si>
    <t>K474K20X7RF5TH5 Condensateur céramique multicouche, 0.47 µF, 50 V, ± 10%, À sorties radiales, X7R, 5 mm</t>
  </si>
  <si>
    <t>K104K15X7RF5UH5 Condensateur céramique multicouche, 0.1 µF, 50 V, ± 10%, À sorties radiales, X7R, 5 mm</t>
  </si>
  <si>
    <t>Connecteurs</t>
  </si>
  <si>
    <t>Connecteur HE14 MH100 sécable droit 1 x 36 pts</t>
  </si>
  <si>
    <t>gotronic</t>
  </si>
  <si>
    <t>Coût total hors taxes du projet</t>
  </si>
  <si>
    <t>Coût total TTC du projet</t>
  </si>
  <si>
    <t>Référence
Equipier</t>
  </si>
  <si>
    <t>Nom équipier</t>
  </si>
  <si>
    <t>Coût de l'heure</t>
  </si>
  <si>
    <t>Coût partiel</t>
  </si>
  <si>
    <t>Payeur</t>
  </si>
  <si>
    <t>Équipier 1</t>
  </si>
  <si>
    <t>Bram Moonen</t>
  </si>
  <si>
    <t>Équipier 2</t>
  </si>
  <si>
    <t>Jonas Martinen</t>
  </si>
  <si>
    <t>Équipier 3</t>
  </si>
  <si>
    <t>Valentin Luneau</t>
  </si>
  <si>
    <t>Équipier 4</t>
  </si>
  <si>
    <t>Mathieu Rey</t>
  </si>
  <si>
    <t>Coût total de la main d’œuvre</t>
  </si>
  <si>
    <t>Coût du projet TDB</t>
  </si>
  <si>
    <t>2 / 3</t>
  </si>
  <si>
    <t>https://fr.farnell.com/multicomp/spc15494/embase-dip-8-voies-2-rangs-2-54mm/dp/2668408</t>
  </si>
  <si>
    <t>1-2199298-3 Support CI, 14 Contact(s), Fiche femelle DIP, 2.54 mm, 7.62 mm, Bronze phosphoreux</t>
  </si>
  <si>
    <t>https://fr.farnell.com/te-connectivity/1-2199298-3/support-ci-dil-7-62mm-14-voies/dp/2445621</t>
  </si>
  <si>
    <t>Accumulateurs LiPo</t>
  </si>
  <si>
    <t>Pack de batterie (LiPo) 7.4 V 350 mAh Conrad energy 1344146 25 C Softcase fiche BEC femelle</t>
  </si>
  <si>
    <t>conrad</t>
  </si>
  <si>
    <t>https://www.conrad.fr/p/pack-de-batterie-lipo-74-v-350-mah-conrad-energy-1344146-25-c-softcase-fiche-bec-femelle-1344146</t>
  </si>
  <si>
    <t>Pack de batterie (LiPo) 7.4 V 500 mAh Conrad energy 1344145 25 C Softcase fiche BEC femelle</t>
  </si>
  <si>
    <t>https://www.conrad.fr/p/pack-de-batterie-lipo-74-v-500-mah-conrad-energy-1344145-25-c-softcase-fiche-bec-femelle-1344145</t>
  </si>
  <si>
    <t>Pack de batterie (LiPo) 7.4 V 1000 mAh Conrad energy 1344143 25 C Softcase fiche BEC femelle</t>
  </si>
  <si>
    <t>https://www.conrad.fr/p/pack-de-batterie-lipo-74-v-1000-mah-conrad-energy-1344143-25-c-softcase-fiche-bec-femelle-1344143</t>
  </si>
  <si>
    <t>https://fr.farnell.com/microchip/mcp6002-i-p/ampli-op-1-8v-1mhz-double-pdip8/dp/1292245</t>
  </si>
  <si>
    <t xml:space="preserve">LM35DZ/LFT1 CI de capteur de température, Analogique, ±0,5°C, 0 °C, 100 °C, TO-92, 3 Broche(s)
</t>
  </si>
  <si>
    <t>https://fr.farnell.com/texas-instruments/lm35dz-lft1/ic-output-type-analogue/dp/3124181</t>
  </si>
  <si>
    <t>Comparateurs</t>
  </si>
  <si>
    <t>LM339N/NOPB Comparateur analogique, Précision, 4 Comparateurs, 1.3 µs, 2V à 36V, ± 1V à ± 18V, DIP, 14 Broche(s)</t>
  </si>
  <si>
    <t>https://fr.farnell.com/texas-instruments/lm339n-nopb/ic-comparator-quad/dp/3118458</t>
  </si>
  <si>
    <t>08000</t>
  </si>
  <si>
    <t>http://www.gotronic.fr/art-connecteur-he14-mh100-4457.htm</t>
  </si>
  <si>
    <t>https://fr.farnell.com/vishay/tldr4900/led-3mm-rouge/dp/1045472</t>
  </si>
  <si>
    <t>https://fr.farnell.com/broadcom-limited/hlmp-y801-jpp00/led-3mm-alingap-green/dp/1735247</t>
  </si>
  <si>
    <t>https://fr.farnell.com/multicomp-pro/mp000436/led-bleu-2cd-467nm-3mm/dp/3130195</t>
  </si>
  <si>
    <t>Diodes standards</t>
  </si>
  <si>
    <t>1N4148 (DO-35) Diode signaux faibles, Une, 100 V, 150 mA, 1 V, 4 ns, 2 A</t>
  </si>
  <si>
    <t>https://fr.farnell.com/multicomp/1n4148-do-35/diode-petit-signaux-100v-0-15a/dp/2675146</t>
  </si>
  <si>
    <t>1N4007G+ Diode de redressement standard, 1 kV, 1 A, Une, 1 V, 30 A</t>
  </si>
  <si>
    <t>https://fr.farnell.com/multicomp/1n4007g/diode-simple-1kv-1a-do-204al/dp/2675047</t>
  </si>
  <si>
    <t>JS202011CQN Commutateur à glissière, DPDT, On-On, Traversant, Série JS, 300 mA</t>
  </si>
  <si>
    <t>https://fr.farnell.com/c-k-components/js202011cqn/commutateur-dpdt-0-6a-6vdc-tht/dp/2320018</t>
  </si>
  <si>
    <t>https://fr.farnell.com/c-k-components/js202011aqn/commutateur-lateral-dpdt/dp/2435145</t>
  </si>
  <si>
    <t>MCDTS6-3K Commutateur tactile, Série MCDTS6, A déclencheur supérieur, Traversant, Bouton rond, 100 gf</t>
  </si>
  <si>
    <t>https://fr.farnell.com/multicomp/mcdts6-3k/tactile-commutateur-7mm-100g/dp/9471723</t>
  </si>
  <si>
    <t>https://fr.farnell.com/texas-instruments/sn74hc00n/quad-2-input-nand-74hc00-dip14/dp/3120419</t>
  </si>
  <si>
    <t>SN74HC02N Porte NON-OU, 74HC02, 2 entrées, 5,2 mA, 2 V à 6 V, DIP-14</t>
  </si>
  <si>
    <t>https://fr.farnell.com/texas-instruments/sn74hc02n/ic-quad-2-input-nor-74hc02-dip14/dp/3120423</t>
  </si>
  <si>
    <t>https://fr.farnell.com/texas-instruments/lm78l05acz-nopb/ic-v-reg-linear-5v-to92/dp/3122722</t>
  </si>
  <si>
    <t>Transistors à effet de champ</t>
  </si>
  <si>
    <t>2N7000 MOSFET de puissance, Canal N, 60 V, 200 mA, 5 ohm, TO-92, Traversant</t>
  </si>
  <si>
    <t>https://fr.farnell.com/on-semiconductor/2n7000/mosfet-n-logique-to-92/dp/9845178</t>
  </si>
  <si>
    <t>MCF 0.25W 1R Résistance traversante, 1 ohm, Série MCF, 250 mW, ± 5%, Axial, 250 V</t>
  </si>
  <si>
    <t>https://fr.farnell.com/multicomp/mcf-0-25w-1r/resistance-0-25w-5-1r/dp/9339094</t>
  </si>
  <si>
    <t>MCF 0.25W 2R2 Résistance traversante, 2.2 ohm, Série MCF, 250 mW, ± 5%, Axial, 250 V</t>
  </si>
  <si>
    <t>https://fr.farnell.com/multicomp/mcf-0-25w-2r2/resistance-0-25w-5-2r2/dp/9339337</t>
  </si>
  <si>
    <t>MCF 0.25W 4R7 Résistance traversante, 4.7 ohm, Série MCF, 250 mW, ± 5%, Axial, 250 V</t>
  </si>
  <si>
    <t>https://fr.farnell.com/multicomp/mcf-0-25w-4r7/resistance-0-25w-5-4r7/dp/9339574</t>
  </si>
  <si>
    <t>MP006856 Résistance traversante, 10 ohm, 250 mW, ± 5%, Axial, 250 V</t>
  </si>
  <si>
    <t>https://fr.farnell.com/multicomp-pro/mp006856/res-10r-0-25w-axial-couche-metal/dp/3650021</t>
  </si>
  <si>
    <t>MP006857 Résistance traversante, 11 ohm, 250 mW, ± 5%, Axial, 250 V</t>
  </si>
  <si>
    <t>https://fr.farnell.com/multicomp-pro/mp006857/res-11r-0-25w-axial-couche-metal/dp/3650022</t>
  </si>
  <si>
    <t>MP006858 Résistance traversante, 12 ohm, 250 mW, ± 5%, Axial, 250 V</t>
  </si>
  <si>
    <t>https://fr.farnell.com/multicomp-pro/mp006858/res-12r-0-25w-axial-couche-metal/dp/3650023</t>
  </si>
  <si>
    <t>MP006859 Résistance traversante, 13 ohm, 250 mW, ± 5%, Axial, 250 V</t>
  </si>
  <si>
    <t>https://fr.farnell.com/multicomp-pro/mp006859/res-13r-0-25w-axial-couche-metal/dp/3650024</t>
  </si>
  <si>
    <t>MP006860 Résistance traversante, 15 ohm, 250 mW, ± 5%, Axial, 250 V</t>
  </si>
  <si>
    <t>https://fr.farnell.com/multicomp-pro/mp006860/res-15r-0-25w-axial-couche-metal/dp/3650025</t>
  </si>
  <si>
    <t>MP006861 Résistance traversante, 16 ohm, 250 mW, ± 5%, Axial, 250 V</t>
  </si>
  <si>
    <t>https://fr.farnell.com/multicomp-pro/mp006861/res-16r-0-25w-axial-couche-metal/dp/3650026</t>
  </si>
  <si>
    <t>MP006862 Résistance traversante, 18 ohm, 250 mW, ± 5%, Axial, 250 V</t>
  </si>
  <si>
    <t>https://fr.farnell.com/multicomp-pro/mp006862/res-18r-0-25w-axial-couche-metal/dp/3650027</t>
  </si>
  <si>
    <t>MP006863 Résistance traversante, 20 ohm, 250 mW, ± 5%, Axial, 250 V</t>
  </si>
  <si>
    <t>https://fr.farnell.com/multicomp-pro/mp006863/res-20r-0-25w-axial-couche-metal/dp/3650028</t>
  </si>
  <si>
    <t>MP006864 Résistance traversante, 22 ohm, 250 mW, ± 5%, Axial, 250 V</t>
  </si>
  <si>
    <t>https://fr.farnell.com/multicomp-pro/mp006864/res-22r-0-25w-axial-couche-metal/dp/3650031</t>
  </si>
  <si>
    <t>MP006865 Résistance traversante, 24 ohm, 250 mW, ± 5%, Axial, 250 V</t>
  </si>
  <si>
    <t>https://fr.farnell.com/multicomp-pro/mp006865/res-24r-0-25w-axial-couche-metal/dp/3650032</t>
  </si>
  <si>
    <t>MP006866 Résistance traversante, 27 ohm, 250 mW, ± 5%, Axial, 250 V</t>
  </si>
  <si>
    <t>https://fr.farnell.com/multicomp-pro/mp006866/res-27r-0-25w-axial-couche-metal/dp/3650033</t>
  </si>
  <si>
    <t>MP006867 Résistance traversante, 30 ohm, 250 mW, ± 5%, Axial, 250 V</t>
  </si>
  <si>
    <t>https://fr.farnell.com/multicomp-pro/mp006867/res-30r-0-25w-axial-couche-metal/dp/3650034</t>
  </si>
  <si>
    <t>MP006868 Résistance traversante, 33 ohm, 250 mW, ± 5%, Axial, 250 V</t>
  </si>
  <si>
    <t>https://fr.farnell.com/multicomp-pro/mp006868/res-33r-0-25w-axial-couche-metal/dp/3650035</t>
  </si>
  <si>
    <t>MP006869 Résistance traversante, 36 ohm, 250 mW, ± 5%, Axial, 250 V</t>
  </si>
  <si>
    <t>https://fr.farnell.com/multicomp-pro/mp006869/res-36r-0-25w-axial-couche-metal/dp/3650036</t>
  </si>
  <si>
    <t>MP006870 Résistance traversante, 39 ohm, 250 mW, ± 5%, Axial, 250 V</t>
  </si>
  <si>
    <t>https://fr.farnell.com/multicomp-pro/mp006870/res-39r-0-25w-axial-couche-metal/dp/3650037</t>
  </si>
  <si>
    <t>MP006871 Résistance traversante, 43 ohm, 250 mW, ± 5%, Axial, 250 V</t>
  </si>
  <si>
    <t>https://fr.farnell.com/multicomp-pro/mp006871/res-43r-0-25w-axial-couche-metal/dp/3650038</t>
  </si>
  <si>
    <t>MP006872 Résistance traversante, 47 ohm, 250 mW, ± 5%, Axial, 250 V</t>
  </si>
  <si>
    <t>https://fr.farnell.com/multicomp-pro/mp006872/res-47r-0-25w-axial-couche-metal/dp/3650039</t>
  </si>
  <si>
    <t>MP006873 Résistance traversante, 51 ohm, 250 mW, ± 5%, Axial, 250 V</t>
  </si>
  <si>
    <t>https://fr.farnell.com/multicomp-pro/mp006873/res-51r-0-25w-axial-couche-metal/dp/3650040</t>
  </si>
  <si>
    <t>MP006874 Résistance traversante, 56 ohm, 250 mW, ± 5%, Axial, 250 V</t>
  </si>
  <si>
    <t>https://fr.farnell.com/multicomp-pro/mp006874/res-56r-0-25w-axial-couche-metal/dp/3650041</t>
  </si>
  <si>
    <t>MP006875 Résistance traversante, 62 ohm, 250 mW, ± 5%, Axial, 250 V</t>
  </si>
  <si>
    <t>https://fr.farnell.com/multicomp-pro/mp006875/res-62r-0-25w-axial-couche-metal/dp/3650043</t>
  </si>
  <si>
    <t>MP006876 Résistance traversante, 68 ohm, 250 mW, ± 5%, Axial, 250 V</t>
  </si>
  <si>
    <t>https://fr.farnell.com/multicomp-pro/mp006876/res-68r-0-25w-axial-couche-metal/dp/3650044</t>
  </si>
  <si>
    <t>MP006877 Résistance traversante, 75 ohm, 250 mW, ± 5%, Axial, 250 V</t>
  </si>
  <si>
    <t>https://fr.farnell.com/multicomp-pro/mp006877/res-75r-0-25w-axial-couche-metal/dp/3650045</t>
  </si>
  <si>
    <t>MP006878 Résistance traversante, 82 ohm, 250 mW, ± 5%, Axial, 250 V</t>
  </si>
  <si>
    <t>https://fr.farnell.com/multicomp-pro/mp006878/res-82r-0-25w-axial-couche-metal/dp/3650046</t>
  </si>
  <si>
    <t>MP006879 Résistance traversante, 91 ohm, 250 mW, ± 5%, Axial, 250 V</t>
  </si>
  <si>
    <t>https://fr.farnell.com/multicomp-pro/mp006879/res-91r-0-25w-axial-couche-metal/dp/3650047</t>
  </si>
  <si>
    <t>https://fr.farnell.com/multicomp-pro/mp006880/res-100r-0-25w-axial-couche-metal/dp/3650048</t>
  </si>
  <si>
    <t>MP006881 Résistance traversante, 110 ohm, 250 mW, ± 5%, Axial, 250 V</t>
  </si>
  <si>
    <t>https://fr.farnell.com/multicomp-pro/mp006881/res-110r-0-25w-axial-couche-metal/dp/3650049</t>
  </si>
  <si>
    <t>MP006882 Résistance traversante, 120 ohm, 250 mW, ± 5%, Axial, 250 V</t>
  </si>
  <si>
    <t>https://fr.farnell.com/multicomp-pro/mp006882/res-120r-0-25w-axial-couche-metal/dp/3650050</t>
  </si>
  <si>
    <t>MP006883 Résistance traversante, 130 ohm, 250 mW, ± 5%, Axial, 250 V</t>
  </si>
  <si>
    <t>https://fr.farnell.com/multicomp-pro/mp006883/res-130r-0-25w-axial-couche-metal/dp/3650051</t>
  </si>
  <si>
    <t>MP006884 Résistance traversante, 150 ohm, 250 mW, ± 5%, Axial, 250 V</t>
  </si>
  <si>
    <t>https://fr.farnell.com/multicomp-pro/mp006884/res-150r-0-25w-axial-couche-metal/dp/3650052</t>
  </si>
  <si>
    <t>MP006885 Résistance traversante, 160 ohm, 250 mW, ± 5%, Axial, 250 V</t>
  </si>
  <si>
    <t>https://fr.farnell.com/multicomp-pro/mp006885/res-160r-0-25w-axial-couche-metal/dp/3650053</t>
  </si>
  <si>
    <t>MP006886 Résistance traversante, 180 ohm, 250 mW, ± 5%, Axial, 250 V</t>
  </si>
  <si>
    <t>https://fr.farnell.com/multicomp-pro/mp006886/res-180r-0-25w-axial-couche-metal/dp/3650055</t>
  </si>
  <si>
    <t>MP006887 Résistance traversante, 200 ohm, 250 mW, ± 5%, Axial, 250 V</t>
  </si>
  <si>
    <t>https://fr.farnell.com/multicomp-pro/mp006887/res-200r-0-25w-axial-couche-metal/dp/3650056</t>
  </si>
  <si>
    <t>MP006888 Résistance traversante, 220 ohm, 250 mW, ± 5%, Axial, 250 V</t>
  </si>
  <si>
    <t>https://fr.farnell.com/multicomp-pro/mp006888/res-220r-0-25w-axial-couche-metal/dp/3650057</t>
  </si>
  <si>
    <t>MP006889 Résistance traversante, 240 ohm, 250 mW, ± 5%, Axial, 250 V</t>
  </si>
  <si>
    <t>https://fr.farnell.com/multicomp-pro/mp006889/res-240r-0-25w-axial-couche-metal/dp/3650058</t>
  </si>
  <si>
    <t>MP006890 Résistance traversante, 270 ohm, 250 mW, ± 5%, Axial, 250 V</t>
  </si>
  <si>
    <t>https://fr.farnell.com/multicomp-pro/mp006890/res-270r-0-25w-axial-couche-metal/dp/3650059</t>
  </si>
  <si>
    <t>https://fr.farnell.com/multicomp-pro/mp006891/res-300r-0-25w-axial-couche-metal/dp/3650060</t>
  </si>
  <si>
    <t>MP006892 Résistance traversante, 330 ohm, 250 mW, ± 5%, Axial, 250 V</t>
  </si>
  <si>
    <t>https://fr.farnell.com/multicomp-pro/mp006892/res-330r-0-25w-axial-couche-metal/dp/3650061</t>
  </si>
  <si>
    <t>MP006893 Résistance traversante, 360 ohm, 250 mW, ± 5%, Axial, 250 V</t>
  </si>
  <si>
    <t>https://fr.farnell.com/multicomp-pro/mp006893/res-360r-0-25w-axial-couche-metal/dp/3650062</t>
  </si>
  <si>
    <t>MP006894 Résistance traversante, 390 ohm, 250 mW, ± 5%, Axial, 250 V</t>
  </si>
  <si>
    <t>https://fr.farnell.com/multicomp-pro/mp006894/res-390r-0-25w-axial-couche-metal/dp/3650063</t>
  </si>
  <si>
    <t>MP006895 Résistance traversante, 430 ohm, 250 mW, ± 5%, Axial, 250 V</t>
  </si>
  <si>
    <t>https://fr.farnell.com/multicomp-pro/mp006895/res-430r-0-25w-axial-couche-metal/dp/3650064</t>
  </si>
  <si>
    <t>MP006896 Résistance traversante, 470 ohm, 250 mW, ± 5%, Axial, 250 V</t>
  </si>
  <si>
    <t>https://fr.farnell.com/multicomp-pro/mp006896/res-470r-0-25w-axial-couche-metal/dp/3650065</t>
  </si>
  <si>
    <t>MP006897 Résistance traversante, 510 ohm, 250 mW, ± 5%, Axial, 250 V</t>
  </si>
  <si>
    <t>https://fr.farnell.com/multicomp-pro/mp006897/res-510r-0-25w-axial-couche-metal/dp/3650067</t>
  </si>
  <si>
    <t>MP006898 Résistance traversante, 560 ohm, 250 mW, ± 5%, Axial, 250 V</t>
  </si>
  <si>
    <t>https://fr.farnell.com/multicomp-pro/mp006898/res-560r-0-25w-axial-couche-metal/dp/3650068</t>
  </si>
  <si>
    <t>MP006899 Résistance traversante, 620 ohm, 250 mW, ± 5%, Axial, 250 V</t>
  </si>
  <si>
    <t>https://fr.farnell.com/multicomp-pro/mp006899/res-620r-0-25w-axial-couche-metal/dp/3650069</t>
  </si>
  <si>
    <t>https://fr.farnell.com/multicomp-pro/mp006900/res-680r-0-25w-axial-couche-metal/dp/3650070</t>
  </si>
  <si>
    <t>MP006901 Résistance traversante, 750 ohm, 250 mW, ± 5%, Axial, 250 V</t>
  </si>
  <si>
    <t>https://fr.farnell.com/multicomp-pro/mp006901/res-750r-0-25w-axial-couche-metal/dp/3650071</t>
  </si>
  <si>
    <t>MP006902 Résistance traversante, 820 ohm, 250 mW, ± 5%, Axial, 250 V</t>
  </si>
  <si>
    <t>https://fr.farnell.com/multicomp-pro/mp006902/res-820r-0-25w-axial-couche-metal/dp/3650072</t>
  </si>
  <si>
    <t>MP006903 Résistance traversante, 910 ohm, 250 mW, ± 5%, Axial, 250 V</t>
  </si>
  <si>
    <t>https://fr.farnell.com/multicomp-pro/mp006903/res-910r-0-25w-axial-couche-metal/dp/3650073</t>
  </si>
  <si>
    <t>https://fr.farnell.com/multicomp-pro/mp006904/res-1k-0-25w-axial-couche-metal/dp/3650074</t>
  </si>
  <si>
    <t>MP006905 Résistance traversante, 1.1 kohm, 250 mW, ± 5%, Axial, 250 V</t>
  </si>
  <si>
    <t>https://fr.farnell.com/multicomp-pro/mp006905/res-1k1-0-25w-axial-couche-metal/dp/3650075</t>
  </si>
  <si>
    <t>MP006906 Résistance traversante, 1.2 kohm, 250 mW, ± 5%, Axial, 250 V</t>
  </si>
  <si>
    <t>https://fr.farnell.com/multicomp-pro/mp006906/res-1k2-0-25w-axial-couche-metal/dp/3650076</t>
  </si>
  <si>
    <t>MP006907 Résistance traversante, 1.3 kohm, 250 mW, ± 5%, Axial, 250 V</t>
  </si>
  <si>
    <t>https://fr.farnell.com/multicomp-pro/mp006907/res-1k3-0-25w-axial-couche-metal/dp/3650077</t>
  </si>
  <si>
    <t>MP006908 Résistance traversante, 1.5 kohm, 250 mW, ± 5%, Axial, 250 V</t>
  </si>
  <si>
    <t>https://fr.farnell.com/multicomp-pro/mp006908/res-1k5-0-25w-axial-couche-metal/dp/3650079</t>
  </si>
  <si>
    <t>MP006909 Résistance traversante, 1.6 kohm, 250 mW, ± 5%, Axial, 250 V</t>
  </si>
  <si>
    <t>https://fr.farnell.com/multicomp-pro/mp006909/res-1k6-0-25w-axial-couche-metal/dp/3650081</t>
  </si>
  <si>
    <t>MP006910 Résistance traversante, 1.8 kohm, 250 mW, ± 5%, Axial, 250 V</t>
  </si>
  <si>
    <t>https://fr.farnell.com/multicomp-pro/mp006910/res-1k8-0-25w-axial-couche-metal/dp/3650082</t>
  </si>
  <si>
    <t>MP006911 Résistance traversante, 2 kohm, 250 mW, ± 5%, Axial, 250 V</t>
  </si>
  <si>
    <t>https://fr.farnell.com/multicomp-pro/mp006911/res-2k-0-25w-axial-couche-metal/dp/3650083</t>
  </si>
  <si>
    <t>MP006912 Résistance traversante, 2.2 kohm, 250 mW, ± 5%, Axial, 250 V</t>
  </si>
  <si>
    <t>https://fr.farnell.com/multicomp-pro/mp006912/res-2k2-0-25w-axial-couche-metal/dp/3650084</t>
  </si>
  <si>
    <t>MP006913 Résistance traversante, 2.4 kohm, 250 mW, ± 5%, Axial, 250 V</t>
  </si>
  <si>
    <t>https://fr.farnell.com/multicomp-pro/mp006913/res-2k4-0-25w-axial-couche-metal/dp/3650085</t>
  </si>
  <si>
    <t>MP006914 Résistance traversante, 2.7 kohm, 250 mW, ± 5%, Axial, 250 V</t>
  </si>
  <si>
    <t>https://fr.farnell.com/multicomp-pro/mp006914/res-2k7-0-25w-axial-couche-metal/dp/3650086</t>
  </si>
  <si>
    <t>MP006915 Résistance traversante, 3 kohm, 250 mW, ± 5%, Axial, 250 V</t>
  </si>
  <si>
    <t>https://fr.farnell.com/multicomp-pro/mp006915/res-3k-0-25w-axial-couche-metal/dp/3650087</t>
  </si>
  <si>
    <t>MP006916 Résistance traversante, 3.3 kohm, 250 mW, ± 5%, Axial, 250 V</t>
  </si>
  <si>
    <t>https://fr.farnell.com/multicomp-pro/mp006916/res-3k3-0-25w-axial-couche-metal/dp/3650088</t>
  </si>
  <si>
    <t>https://fr.farnell.com/multicomp-pro/mp006917/res-3k6-0-25w-axial-couche-metal/dp/3650089</t>
  </si>
  <si>
    <t>MP006918 Résistance traversante, 3.9 kohm, 250 mW, ± 5%, Axial, 250 V</t>
  </si>
  <si>
    <t>https://fr.farnell.com/multicomp-pro/mp006918/res-3k9-0-25w-axial-couche-metal/dp/3650090</t>
  </si>
  <si>
    <t>MP006919 Résistance traversante, 4.3 kohm, 250 mW, ± 5%, Axial, 250 V</t>
  </si>
  <si>
    <t>https://fr.farnell.com/multicomp-pro/mp006919/res-4k3-0-25w-axial-couche-metal/dp/3650092</t>
  </si>
  <si>
    <t>https://fr.farnell.com/multicomp-pro/mp006920/res-4k7-0-25w-axial-couche-metal/dp/3650093</t>
  </si>
  <si>
    <t>MP006921 Résistance traversante, 5.1 kohm, 250 mW, ± 5%, Axial, 250 V</t>
  </si>
  <si>
    <t>https://fr.farnell.com/multicomp-pro/mp006921/res-5k1-0-25w-axial-couche-metal/dp/3650094</t>
  </si>
  <si>
    <t>MP006922 Résistance traversante, 5.6 kohm, 250 mW, ± 5%, Axial, 250 V</t>
  </si>
  <si>
    <t>https://fr.farnell.com/multicomp-pro/mp006922/res-5k6-0-25w-axial-couche-metal/dp/3650095</t>
  </si>
  <si>
    <t>MP006923 Résistance traversante, 6.2 kohm, 250 mW, ± 5%, Axial, 250 V</t>
  </si>
  <si>
    <t>https://fr.farnell.com/multicomp-pro/mp006923/res-6k2-0-25w-axial-couche-metal/dp/3650096</t>
  </si>
  <si>
    <t>MP006924 Résistance traversante, 6.8 kohm, 250 mW, ± 5%, Axial, 250 V</t>
  </si>
  <si>
    <t>https://fr.farnell.com/multicomp-pro/mp006924/res-6k8-0-25w-axial-couche-metal/dp/3650097</t>
  </si>
  <si>
    <t>MP006925 Résistance traversante, 7.5 kohm, 250 mW, ± 5%, Axial, 250 V</t>
  </si>
  <si>
    <t>https://fr.farnell.com/multicomp-pro/mp006925/res-7k5-0-25w-axial-couche-metal/dp/3650098</t>
  </si>
  <si>
    <t>MP006926 Résistance traversante, 8.2 kohm, 250 mW, ± 5%, Axial, 250 V</t>
  </si>
  <si>
    <t>https://fr.farnell.com/multicomp-pro/mp006926/res-8k2-0-25w-axial-couche-metal/dp/3650099</t>
  </si>
  <si>
    <t>MP006927 Résistance traversante, 9.1 kohm, 250 mW, ± 5%, Axial, 250 V</t>
  </si>
  <si>
    <t>https://fr.farnell.com/multicomp-pro/mp006927/res-9k1-0-25w-axial-couche-metal/dp/3650100</t>
  </si>
  <si>
    <t>MP006928 Résistance traversante, 10 kohm, 250 mW, ± 5%, Axial, 250 V</t>
  </si>
  <si>
    <t>https://fr.farnell.com/multicomp-pro/mp006928/res-10k-0-25w-axial-couche-metal/dp/3650101</t>
  </si>
  <si>
    <t>MP006929 Résistance traversante, 11 kohm, 250 mW, ± 5%, Axial, 250 V</t>
  </si>
  <si>
    <t>https://fr.farnell.com/multicomp-pro/mp006929/res-11k-0-25w-axial-couche-metal/dp/3650102</t>
  </si>
  <si>
    <t>MP006930 Résistance traversante, 12 kohm, 250 mW, ± 5%, Axial, 250 V</t>
  </si>
  <si>
    <t>https://fr.farnell.com/multicomp-pro/mp006930/res-12k-0-25w-axial-couche-metal/dp/3650103</t>
  </si>
  <si>
    <t>MP006931 Résistance traversante, 13 kohm, 250 mW, ± 5%, Axial, 250 V</t>
  </si>
  <si>
    <t>https://fr.farnell.com/multicomp-pro/mp006931/res-13k-0-25w-axial-couche-metal/dp/3650104</t>
  </si>
  <si>
    <t>MP006932 Résistance traversante, 15 kohm, 250 mW, ± 5%, Axial, 250 V</t>
  </si>
  <si>
    <t>https://fr.farnell.com/multicomp-pro/mp006932/res-15k-0-25w-axial-couche-metal/dp/3650105</t>
  </si>
  <si>
    <t>https://fr.farnell.com/multicomp-pro/mp006933/res-16k-0-25w-axial-couche-metal/dp/3650106</t>
  </si>
  <si>
    <t>MP006934 Résistance traversante, 18 kohm, 250 mW, ± 5%, Axial, 250 V</t>
  </si>
  <si>
    <t>https://fr.farnell.com/multicomp-pro/mp006934/res-18k-0-25w-axial-couche-metal/dp/3650107</t>
  </si>
  <si>
    <t>MP006935 Résistance traversante, 20 kohm, 250 mW, ± 5%, Axial, 250 V</t>
  </si>
  <si>
    <t>https://fr.farnell.com/multicomp-pro/mp006935/res-20k-0-25w-axial-couche-metal/dp/3650109</t>
  </si>
  <si>
    <t>MP006936 Résistance traversante, 22 kohm, 250 mW, ± 5%, Axial, 250 V</t>
  </si>
  <si>
    <t>https://fr.farnell.com/multicomp-pro/mp006936/res-22k-0-25w-axial-couche-metal/dp/3650111</t>
  </si>
  <si>
    <t>MP006937 Résistance traversante, 24 kohm, 250 mW, ± 5%, Axial, 250 V</t>
  </si>
  <si>
    <t>https://fr.farnell.com/multicomp-pro/mp006937/res-24k-0-25w-axial-couche-metal/dp/3650112</t>
  </si>
  <si>
    <t>MP006938 Résistance traversante, 27 kohm, 250 mW, ± 5%, Axial, 250 V</t>
  </si>
  <si>
    <t>https://fr.farnell.com/multicomp-pro/mp006938/res-27k-0-25w-axial-couche-metal/dp/3650113</t>
  </si>
  <si>
    <t>https://fr.farnell.com/multicomp-pro/mp006939/res-30k-0-25w-axial-couche-metal/dp/3650114</t>
  </si>
  <si>
    <t>MP006940 Résistance traversante, 33 kohm, 250 mW, ± 5%, Axial, 250 V</t>
  </si>
  <si>
    <t>https://fr.farnell.com/multicomp-pro/mp006940/res-33k-0-25w-axial-couche-metal/dp/3650115</t>
  </si>
  <si>
    <t>MP006941 Résistance traversante, 36 kohm, 250 mW, ± 5%, Axial, 250 V</t>
  </si>
  <si>
    <t>https://fr.farnell.com/multicomp-pro/mp006941/res-36k-0-25w-axial-couche-metal/dp/3650116</t>
  </si>
  <si>
    <t>MCF 0.25W 39K Résistance traversante, 39 kohm, MCF, 250 mW, ± 5%, Axial, 250 V</t>
  </si>
  <si>
    <t>https://fr.farnell.com/multicomp/mcf-0-25w-39k/resistance-0-25w-5-39k/dp/9339493</t>
  </si>
  <si>
    <t>MP006942 Résistance traversante, 43 kohm, 250 mW, ± 5%, Axial, 250 V</t>
  </si>
  <si>
    <t>https://fr.farnell.com/multicomp-pro/mp006942/res-43k-0-25w-axial-couche-metal/dp/3650117</t>
  </si>
  <si>
    <t>MP006943 Résistance traversante, 47 kohm, 250 mW, ± 5%, Axial, 250 V</t>
  </si>
  <si>
    <t>https://fr.farnell.com/multicomp-pro/mp006943/res-47k-0-25w-axial-couche-metal/dp/3650118</t>
  </si>
  <si>
    <t>MP006944 Résistance traversante, 51 kohm, 250 mW, ± 5%, Axial, 250 V</t>
  </si>
  <si>
    <t>https://fr.farnell.com/multicomp-pro/mp006944/res-51k-0-25w-axial-couche-metal/dp/3650119</t>
  </si>
  <si>
    <t>MCF 0.25W 56K Résistance traversante, 56 kohm, MCF, 250 mW, ± 5%, Axial, 250 V</t>
  </si>
  <si>
    <t>https://fr.farnell.com/multicomp/mcf-0-25w-56k/resistance-0-25w-5-56k/dp/9339612</t>
  </si>
  <si>
    <t>MP006945 Résistance traversante, 62 kohm, 250 mW, ± 5%, Axial, 250 V</t>
  </si>
  <si>
    <t>https://fr.farnell.com/multicomp-pro/mp006945/res-62k-0-25w-axial-couche-metal/dp/3650120</t>
  </si>
  <si>
    <t>MP006946 Résistance traversante, 68 kohm, 250 mW, ± 5%, Axial, 250 V</t>
  </si>
  <si>
    <t>https://fr.farnell.com/multicomp-pro/mp006946/res-68k-0-25w-axial-couche-metal/dp/3650122</t>
  </si>
  <si>
    <t>MP006947 Résistance traversante, 75 kohm, 250 mW, ± 5%, Axial, 250 V</t>
  </si>
  <si>
    <t>https://fr.farnell.com/multicomp-pro/mp006947/res-75k-0-25w-axial-couche-metal/dp/3650123</t>
  </si>
  <si>
    <t>MP006948 Résistance traversante, 82 kohm, 250 mW, ± 5%, Axial, 250 V</t>
  </si>
  <si>
    <t>https://fr.farnell.com/multicomp-pro/mp006948/res-82k-0-25w-axial-couche-metal/dp/3650124</t>
  </si>
  <si>
    <t>MP006949 Résistance traversante, 91 kohm, 250 mW, ± 5%, Axial, 250 V</t>
  </si>
  <si>
    <t>https://fr.farnell.com/multicomp-pro/mp006949/res-91k-0-25w-axial-couche-metal/dp/3650125</t>
  </si>
  <si>
    <t xml:space="preserve">MP006950 Résistance traversante, 100 kohm, 250 mW, ± 5%, Axial, 250 V </t>
  </si>
  <si>
    <t>https://fr.farnell.com/multicomp-pro/mp006950/res-100k-0-25w-axial-couche-metal/dp/3650126</t>
  </si>
  <si>
    <t>MCF 0.25W 220K Résistance traversante, 120 kohm, Série MCF, 250 mW, ± 5%, Axial, 250 V</t>
  </si>
  <si>
    <t>https://fr.farnell.com/multicomp/mcf-0-25w-120k/resistance-0-25w-5-120k/dp/9339140</t>
  </si>
  <si>
    <t>MCF 0.25W 220K Résistance traversante, 150 kohm, Série MCF, 250 mW, ± 5%, Axial, 250 V</t>
  </si>
  <si>
    <t>https://fr.farnell.com/multicomp/mcf-0-25w-150k/resistance-0-25w-5-150k/dp/9339205</t>
  </si>
  <si>
    <t>MCF 0.25W 220K Résistance traversante, 220 kohm, Série MCF, 250 mW, ± 5%, Axial, 250 V</t>
  </si>
  <si>
    <t>https://fr.farnell.com/multicomp/mcf-0-25w-220k/resistance-0-25w-5-220k/dp/9339329</t>
  </si>
  <si>
    <t>MCF 0.25W 470K Résistance traversante, 470 kohm, Série MCF, 250 mW, ± 5%, Axial, 250 V</t>
  </si>
  <si>
    <t>https://fr.farnell.com/multicomp/mcf-0-25w-470k/resistance-couche-carbon-470k/dp/9339566</t>
  </si>
  <si>
    <t>MCF 0.25W 1M Résistance traversante, 1 Mohm, Série MCF, 250 mW, ± 5%, Axial, 250 V</t>
  </si>
  <si>
    <t>https://fr.farnell.com/multicomp/mcf-0-25w-1m/resistance-couche-carbon-1m-0/dp/9339086</t>
  </si>
  <si>
    <t>K102K15X7RF5TH5 Condensateur céramique multicouche, 1000 pF, 50 V, ± 10%, À sorties radiales, X7R, 5 mm</t>
  </si>
  <si>
    <t>https://fr.farnell.com/vishay/k102k15x7rf5th5/condensateur-1000pf-50v-10-x7r/dp/2860085</t>
  </si>
  <si>
    <t>K222K15X7RF5TH5 Condensateur céramique multicouche, 2200 pF, 50 V, ± 10%, À sorties radiales, X7R, 5 mm</t>
  </si>
  <si>
    <t>https://fr.farnell.com/vishay/k222k15x7rf5th5/condensateur-2200pf-50v-10-x7r/dp/2860117</t>
  </si>
  <si>
    <t>K472K15X7RF5TH5 Condensateur céramique multicouche, 4700 pF, 50 V, ± 10%, À sorties radiales, X7R, 5 mm</t>
  </si>
  <si>
    <t>https://fr.farnell.com/vishay/k472k15x7rf5th5/condensateur-4700pf-50v-mlcc-radial/dp/3812214</t>
  </si>
  <si>
    <t>K103K15X7RF5UH5 Condensateur céramique multicouche, 0.01 µF, 50 V, ± 10%, À sorties radiales, X7R, 5 mm</t>
  </si>
  <si>
    <r>
      <rPr>
        <rFont val="Calibri"/>
        <color rgb="FF000000"/>
        <sz val="11.0"/>
      </rPr>
      <t>https://fr.farnell.com/vishay/k103k15x7rf5uh5/condensateur-0-01-f-50v-10-x7r/dp/2860093</t>
    </r>
  </si>
  <si>
    <t>K223K15X7RF5UH5 Condensateur céramique multicouche, 0.022 µF, 50 V, ± 10%, À sorties radiales, X7R, 5 mm</t>
  </si>
  <si>
    <t>https://fr.farnell.com/vishay/k223k15x7rf5uh5/condensateur-0-022-f-50v-10-x7r/dp/2860119</t>
  </si>
  <si>
    <t>K473K15X7RF5UH5 Condensateur céramique multicouche, 0.047 µF, 50 V, ± 10%, À sorties radiales, X7R, 5 mm</t>
  </si>
  <si>
    <t>https://fr.farnell.com/vishay/k473k15x7rf5uh5/condensateur-47000pf-50v-radial/dp/3812216</t>
  </si>
  <si>
    <t>https://fr.farnell.com/vishay/k104k15x7rf5uh5/condensateur-0-1-f-50v-10-x7r/dp/2507750</t>
  </si>
  <si>
    <t>K224K20X7RF5UH5 Condensateur céramique multicouche, 0.22 µF, 50 V, ± 10%, À sorties radiales, X7R, 5 mm</t>
  </si>
  <si>
    <t>https://fr.farnell.com/vishay/k224k20x7rf5uh5/condensateur-0-22-f-50v-10-x7r/dp/2860121</t>
  </si>
  <si>
    <t>https://fr.farnell.com/vishay/k474k20x7rf5th5/condensateur-0-47-f-50v-10-x7r/dp/2860137</t>
  </si>
  <si>
    <t>489D105X0025A Condensateur tantale, Revêtement en résine, 1,0 µF, 25 V, Série 489D, ± 20%, À sorties radiales</t>
  </si>
  <si>
    <t>https://fr.farnell.com/vishay/489d105x0025a1ve3/cond-1-f-25v-20-traversant/dp/1753978</t>
  </si>
  <si>
    <t>489D225X0025B Condensateur tantale, Revêtement en résine, 2.2 µF, 25 V, Série 489D, ± 20%, À sorties radiales</t>
  </si>
  <si>
    <t>https://fr.farnell.com/vishay/489d225x0025b1ve3/cond-2-2-f-25v-20-traversant/dp/1753979</t>
  </si>
  <si>
    <t>489D475X0025B Condensateur tantale, Revêtement en résine, 4.7 µF, 25 V, Série 489D, ± 20%, À sorties radiales</t>
  </si>
  <si>
    <t>https://fr.farnell.com/vishay/489d475x0035d1ve3/cond-4-7-f-35v-20-traversant/dp/1753983</t>
  </si>
  <si>
    <t>EEUFR1H100 Condensateur électrolytique, 10 µF, 50 V, Série FR, ± 20%, À sorties radiales</t>
  </si>
  <si>
    <t>https://fr.farnell.com/panasonic/eeufr1h100/condensateur-10-f-50v-20/dp/2217568</t>
  </si>
  <si>
    <t>EEUFR1H220 Condensateur électrolytique, 22 µF, 50 V, Série FR, ± 20%, À sorties radiales</t>
  </si>
  <si>
    <t>https://fr.farnell.com/panasonic-electronic-components/eeufr1h220/condensateur-22-f-50v-20/dp/2760342</t>
  </si>
  <si>
    <t>EEUFR1H470 Condensateur électrolytique, 47 µF, 50 V, Série FR, ± 20%, À sorties radiales</t>
  </si>
  <si>
    <t>https://fr.farnell.com/panasonic/eeufr1h470/condensateur-47-f-50v-20/dp/2217571</t>
  </si>
  <si>
    <t>EEUFR1J101LB Condensateur électrolytique, 100 µF, 63 V, Série FR, ± 20%, À sorties radiales</t>
  </si>
  <si>
    <t>https://fr.farnell.com/panasonic/eeufr1j101lb/condensateur-100-f-63v-20/dp/2479891</t>
  </si>
  <si>
    <t>EEUFR1J221LB Condensateur électrolytique, 220 µF, 63 V, Série FR, ± 20%, À sorties radiales</t>
  </si>
  <si>
    <t>https://fr.farnell.com/panasonic-electronic-components/eeufr1j221lb/condensateur-220-f-63v-20/dp/2079302</t>
  </si>
  <si>
    <t>EEUFR1J441B Condensateur électrolytique, 470 µF, 63 V, Série FR, ± 20%, À sorties radiales</t>
  </si>
  <si>
    <t>https://fr.farnell.com/panasonic/eeufr1j471b/condensateur-470-f-63v-20/dp/2079308</t>
  </si>
  <si>
    <t>EEUFR1H102 Condensateur électrolytique, 1000 µF, 50 V, Série FR, ± 20%, À sorties radiales</t>
  </si>
  <si>
    <t>https://fr.farnell.com/panasonic/eeufr1h102/condensateur-1000-f-50v-20/dp/2508131</t>
  </si>
  <si>
    <t>https://fr.farnell.com/cif/ab60/plaque-presensibilisee-epoxy-300x600mm/dp/1267743</t>
  </si>
  <si>
    <t>Stock du projet TDB de SAE1</t>
  </si>
  <si>
    <t>3 /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</si>
</sst>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6">
    <font>
      <sz val="11.0"/>
      <color rgb="FF000000"/>
      <name val="Calibri"/>
      <scheme val="minor"/>
    </font>
    <font>
      <b/>
      <sz val="16.0"/>
      <color rgb="FF000000"/>
      <name val="Calibri"/>
    </font>
    <font>
      <sz val="16.0"/>
      <color rgb="FF000000"/>
      <name val="Calibri"/>
    </font>
    <font>
      <b/>
      <sz val="18.0"/>
      <color rgb="FF000000"/>
      <name val="Calibri"/>
    </font>
    <font/>
    <font>
      <b/>
      <sz val="16.0"/>
      <color rgb="FFFFFFFF"/>
      <name val="Calibri"/>
    </font>
    <font>
      <sz val="10.0"/>
      <color rgb="FF000000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i/>
      <sz val="9.0"/>
      <color rgb="FF000000"/>
      <name val="Calibri"/>
    </font>
    <font>
      <sz val="9.0"/>
      <color rgb="FF000000"/>
      <name val="Calibri"/>
    </font>
    <font>
      <b/>
      <sz val="11.0"/>
      <color rgb="FF000000"/>
      <name val="Calibri"/>
    </font>
    <font>
      <i/>
      <sz val="12.0"/>
      <color rgb="FF000000"/>
      <name val="Calibri"/>
    </font>
    <font>
      <b/>
      <i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sz val="10.0"/>
      <color rgb="FF000000"/>
      <name val="Roboto"/>
    </font>
    <font>
      <b/>
      <sz val="18.0"/>
      <color rgb="FF047857"/>
      <name val="Arial"/>
    </font>
    <font>
      <sz val="16.0"/>
      <color theme="1"/>
      <name val="Calibri"/>
    </font>
    <font>
      <sz val="10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b/>
      <sz val="16.0"/>
      <color theme="1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47857"/>
        <bgColor rgb="FF04785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4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ill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0"/>
    </xf>
    <xf borderId="6" fillId="0" fontId="4" numFmtId="0" xfId="0" applyBorder="1" applyFont="1"/>
    <xf borderId="6" fillId="0" fontId="2" numFmtId="0" xfId="0" applyAlignment="1" applyBorder="1" applyFont="1">
      <alignment horizontal="center" shrinkToFit="0" vertical="center" wrapText="0"/>
    </xf>
    <xf borderId="7" fillId="0" fontId="4" numFmtId="0" xfId="0" applyBorder="1" applyFont="1"/>
    <xf borderId="7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0"/>
    </xf>
    <xf borderId="8" fillId="0" fontId="2" numFmtId="0" xfId="0" applyAlignment="1" applyBorder="1" applyFont="1">
      <alignment horizontal="left" shrinkToFit="0" vertical="center" wrapText="0"/>
    </xf>
    <xf borderId="9" fillId="0" fontId="4" numFmtId="0" xfId="0" applyBorder="1" applyFont="1"/>
    <xf borderId="10" fillId="0" fontId="4" numFmtId="0" xfId="0" applyBorder="1" applyFont="1"/>
    <xf borderId="5" fillId="0" fontId="2" numFmtId="0" xfId="0" applyAlignment="1" applyBorder="1" applyFont="1">
      <alignment horizontal="right" shrinkToFit="0" vertical="center" wrapText="0"/>
    </xf>
    <xf borderId="7" fillId="0" fontId="2" numFmtId="0" xfId="0" applyAlignment="1" applyBorder="1" applyFont="1">
      <alignment horizontal="left" shrinkToFit="0" vertical="center" wrapText="0"/>
    </xf>
    <xf borderId="11" fillId="0" fontId="2" numFmtId="0" xfId="0" applyAlignment="1" applyBorder="1" applyFont="1">
      <alignment horizontal="left" shrinkToFit="0" vertical="center" wrapText="0"/>
    </xf>
    <xf borderId="12" fillId="0" fontId="4" numFmtId="0" xfId="0" applyBorder="1" applyFont="1"/>
    <xf borderId="13" fillId="0" fontId="4" numFmtId="0" xfId="0" applyBorder="1" applyFont="1"/>
    <xf borderId="0" fillId="0" fontId="6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2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 shrinkToFit="0" wrapText="1"/>
    </xf>
    <xf borderId="0" fillId="0" fontId="11" numFmtId="2" xfId="0" applyAlignment="1" applyFont="1" applyNumberFormat="1">
      <alignment horizontal="center" readingOrder="0" shrinkToFit="0" wrapText="1"/>
    </xf>
    <xf borderId="4" fillId="0" fontId="7" numFmtId="0" xfId="0" applyAlignment="1" applyBorder="1" applyFont="1">
      <alignment shrinkToFit="0" vertical="bottom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 shrinkToFit="0" wrapText="1"/>
    </xf>
    <xf borderId="0" fillId="0" fontId="11" numFmtId="2" xfId="0" applyAlignment="1" applyFont="1" applyNumberFormat="1">
      <alignment horizontal="center" readingOrder="0" shrinkToFit="0" wrapText="1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/>
    </xf>
    <xf borderId="0" fillId="0" fontId="11" numFmtId="2" xfId="0" applyAlignment="1" applyFont="1" applyNumberFormat="1">
      <alignment horizontal="center"/>
    </xf>
    <xf borderId="0" fillId="0" fontId="11" numFmtId="0" xfId="0" applyAlignment="1" applyFont="1">
      <alignment horizontal="center" readingOrder="0"/>
    </xf>
    <xf borderId="1" fillId="0" fontId="7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2" fillId="0" fontId="8" numFmtId="0" xfId="0" applyAlignment="1" applyBorder="1" applyFont="1">
      <alignment horizontal="center" shrinkToFit="0" vertical="center" wrapText="1"/>
    </xf>
    <xf borderId="1" fillId="0" fontId="8" numFmtId="2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3" fillId="0" fontId="12" numFmtId="2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  <xf borderId="1" fillId="0" fontId="9" numFmtId="2" xfId="0" applyAlignment="1" applyBorder="1" applyFont="1" applyNumberFormat="1">
      <alignment horizontal="center" shrinkToFit="0" vertical="center" wrapText="1"/>
    </xf>
    <xf borderId="1" fillId="0" fontId="9" numFmtId="164" xfId="0" applyAlignment="1" applyBorder="1" applyFont="1" applyNumberFormat="1">
      <alignment horizontal="center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1"/>
    </xf>
    <xf borderId="12" fillId="0" fontId="2" numFmtId="0" xfId="0" applyAlignment="1" applyBorder="1" applyFont="1">
      <alignment horizontal="left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5" fillId="0" fontId="2" numFmtId="4" xfId="0" applyAlignment="1" applyBorder="1" applyFont="1" applyNumberFormat="1">
      <alignment horizontal="right" shrinkToFit="0" vertical="center" wrapText="0"/>
    </xf>
    <xf borderId="11" fillId="0" fontId="4" numFmtId="0" xfId="0" applyBorder="1" applyFont="1"/>
    <xf borderId="1" fillId="3" fontId="14" numFmtId="0" xfId="0" applyAlignment="1" applyBorder="1" applyFill="1" applyFont="1">
      <alignment horizontal="center"/>
    </xf>
    <xf borderId="1" fillId="3" fontId="12" numFmtId="0" xfId="0" applyAlignment="1" applyBorder="1" applyFont="1">
      <alignment horizontal="center"/>
    </xf>
    <xf borderId="1" fillId="3" fontId="12" numFmtId="2" xfId="0" applyAlignment="1" applyBorder="1" applyFont="1" applyNumberFormat="1">
      <alignment horizontal="center"/>
    </xf>
    <xf borderId="0" fillId="3" fontId="7" numFmtId="0" xfId="0" applyAlignment="1" applyFont="1">
      <alignment horizontal="center" shrinkToFit="0" vertical="center" wrapText="1"/>
    </xf>
    <xf borderId="1" fillId="3" fontId="7" numFmtId="0" xfId="0" applyAlignment="1" applyBorder="1" applyFont="1">
      <alignment horizontal="center"/>
    </xf>
    <xf borderId="1" fillId="3" fontId="7" numFmtId="2" xfId="0" applyAlignment="1" applyBorder="1" applyFont="1" applyNumberFormat="1">
      <alignment horizontal="center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2" xfId="0" applyAlignment="1" applyBorder="1" applyFont="1" applyNumberFormat="1">
      <alignment horizontal="center" shrinkToFit="0" vertical="center" wrapText="1"/>
    </xf>
    <xf borderId="1" fillId="3" fontId="7" numFmtId="0" xfId="0" applyAlignment="1" applyBorder="1" applyFont="1">
      <alignment horizontal="left" shrinkToFit="0" vertical="bottom" wrapText="0"/>
    </xf>
    <xf borderId="1" fillId="0" fontId="7" numFmtId="0" xfId="0" applyAlignment="1" applyBorder="1" applyFont="1">
      <alignment horizontal="center"/>
    </xf>
    <xf borderId="1" fillId="0" fontId="15" numFmtId="0" xfId="0" applyAlignment="1" applyBorder="1" applyFont="1">
      <alignment horizontal="center" shrinkToFit="0" vertical="bottom" wrapText="0"/>
    </xf>
    <xf borderId="1" fillId="0" fontId="15" numFmtId="2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center" wrapText="1"/>
    </xf>
    <xf borderId="1" fillId="0" fontId="7" numFmtId="2" xfId="0" applyAlignment="1" applyBorder="1" applyFont="1" applyNumberFormat="1">
      <alignment horizontal="center" shrinkToFit="0" vertical="center" wrapText="1"/>
    </xf>
    <xf borderId="1" fillId="0" fontId="15" numFmtId="0" xfId="0" applyAlignment="1" applyBorder="1" applyFont="1">
      <alignment horizontal="left" shrinkToFit="0" vertical="bottom" wrapText="0"/>
    </xf>
    <xf borderId="1" fillId="3" fontId="1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horizontal="center" shrinkToFit="0" vertical="center" wrapText="1"/>
    </xf>
    <xf borderId="7" fillId="0" fontId="7" numFmtId="2" xfId="0" applyAlignment="1" applyBorder="1" applyFont="1" applyNumberFormat="1">
      <alignment horizontal="center" shrinkToFit="0" vertical="center" wrapText="1"/>
    </xf>
    <xf borderId="7" fillId="0" fontId="7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0" fillId="3" fontId="7" numFmtId="0" xfId="0" applyAlignment="1" applyFont="1">
      <alignment horizontal="center"/>
    </xf>
    <xf borderId="0" fillId="3" fontId="7" numFmtId="0" xfId="0" applyAlignment="1" applyFont="1">
      <alignment shrinkToFit="0" vertical="bottom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shrinkToFit="0" vertical="bottom" wrapText="0"/>
    </xf>
    <xf borderId="0" fillId="3" fontId="16" numFmtId="0" xfId="0" applyFont="1"/>
    <xf borderId="1" fillId="3" fontId="7" numFmtId="0" xfId="0" applyAlignment="1" applyBorder="1" applyFont="1">
      <alignment horizontal="center" readingOrder="0"/>
    </xf>
    <xf borderId="1" fillId="4" fontId="7" numFmtId="0" xfId="0" applyAlignment="1" applyBorder="1" applyFill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2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shrinkToFit="0" vertical="bottom" wrapText="0"/>
    </xf>
    <xf borderId="1" fillId="0" fontId="17" numFmtId="0" xfId="0" applyBorder="1" applyFont="1"/>
    <xf borderId="1" fillId="0" fontId="15" numFmtId="0" xfId="0" applyAlignment="1" applyBorder="1" applyFont="1">
      <alignment shrinkToFit="0" vertical="bottom" wrapText="0"/>
    </xf>
    <xf borderId="1" fillId="0" fontId="7" numFmtId="2" xfId="0" applyAlignment="1" applyBorder="1" applyFont="1" applyNumberFormat="1">
      <alignment horizontal="center"/>
    </xf>
    <xf borderId="0" fillId="3" fontId="18" numFmtId="0" xfId="0" applyAlignment="1" applyFont="1">
      <alignment horizontal="center" readingOrder="0" shrinkToFit="0" wrapText="0"/>
    </xf>
    <xf borderId="0" fillId="3" fontId="6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5" fontId="19" numFmtId="0" xfId="0" applyAlignment="1" applyFill="1" applyFont="1">
      <alignment horizontal="center" readingOrder="0"/>
    </xf>
    <xf borderId="2" fillId="0" fontId="12" numFmtId="0" xfId="0" applyAlignment="1" applyBorder="1" applyFont="1">
      <alignment horizontal="center" shrinkToFit="0" vertical="center" wrapText="1"/>
    </xf>
    <xf borderId="1" fillId="0" fontId="12" numFmtId="2" xfId="0" applyAlignment="1" applyBorder="1" applyFont="1" applyNumberFormat="1">
      <alignment horizontal="center" shrinkToFit="0" vertical="center" wrapText="1"/>
    </xf>
    <xf borderId="8" fillId="0" fontId="12" numFmtId="2" xfId="0" applyAlignment="1" applyBorder="1" applyFont="1" applyNumberFormat="1">
      <alignment horizontal="center" shrinkToFit="0" vertical="center" wrapText="1"/>
    </xf>
    <xf borderId="9" fillId="0" fontId="12" numFmtId="2" xfId="0" applyAlignment="1" applyBorder="1" applyFont="1" applyNumberFormat="1">
      <alignment horizontal="center" shrinkToFit="0" vertical="center" wrapText="1"/>
    </xf>
    <xf borderId="10" fillId="0" fontId="12" numFmtId="2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11" fillId="0" fontId="12" numFmtId="2" xfId="0" applyAlignment="1" applyBorder="1" applyFont="1" applyNumberFormat="1">
      <alignment horizontal="center" shrinkToFit="0" vertical="center" wrapText="1"/>
    </xf>
    <xf borderId="12" fillId="0" fontId="12" numFmtId="2" xfId="0" applyAlignment="1" applyBorder="1" applyFont="1" applyNumberFormat="1">
      <alignment horizontal="center" shrinkToFit="0" vertical="center" wrapText="1"/>
    </xf>
    <xf borderId="13" fillId="0" fontId="12" numFmtId="2" xfId="0" applyAlignment="1" applyBorder="1" applyFont="1" applyNumberFormat="1">
      <alignment horizontal="center" shrinkToFit="0" vertical="center" wrapText="1"/>
    </xf>
    <xf borderId="5" fillId="0" fontId="20" numFmtId="0" xfId="0" applyAlignment="1" applyBorder="1" applyFont="1">
      <alignment horizontal="left" shrinkToFit="0" vertical="center" wrapText="0"/>
    </xf>
    <xf borderId="6" fillId="0" fontId="20" numFmtId="0" xfId="0" applyAlignment="1" applyBorder="1" applyFont="1">
      <alignment horizontal="left" shrinkToFit="0" vertical="center" wrapText="0"/>
    </xf>
    <xf borderId="0" fillId="6" fontId="21" numFmtId="0" xfId="0" applyAlignment="1" applyFill="1" applyFont="1">
      <alignment shrinkToFit="0" vertical="bottom" wrapText="0"/>
    </xf>
    <xf borderId="0" fillId="6" fontId="21" numFmtId="0" xfId="0" applyAlignment="1" applyFont="1">
      <alignment horizontal="left" shrinkToFit="0" vertical="bottom" wrapText="0"/>
    </xf>
    <xf borderId="8" fillId="6" fontId="22" numFmtId="2" xfId="0" applyAlignment="1" applyBorder="1" applyFont="1" applyNumberFormat="1">
      <alignment horizontal="center" shrinkToFit="0" vertical="center" wrapText="1"/>
    </xf>
    <xf borderId="1" fillId="6" fontId="23" numFmtId="0" xfId="0" applyAlignment="1" applyBorder="1" applyFont="1">
      <alignment horizontal="center" shrinkToFit="0" wrapText="1"/>
    </xf>
    <xf borderId="1" fillId="6" fontId="15" numFmtId="0" xfId="0" applyBorder="1" applyFont="1"/>
    <xf borderId="0" fillId="6" fontId="15" numFmtId="0" xfId="0" applyAlignment="1" applyFont="1">
      <alignment vertical="bottom"/>
    </xf>
    <xf borderId="1" fillId="6" fontId="15" numFmtId="2" xfId="0" applyBorder="1" applyFont="1" applyNumberFormat="1"/>
    <xf borderId="1" fillId="6" fontId="15" numFmtId="0" xfId="0" applyAlignment="1" applyBorder="1" applyFont="1">
      <alignment vertical="bottom"/>
    </xf>
    <xf borderId="0" fillId="3" fontId="15" numFmtId="0" xfId="0" applyFont="1"/>
    <xf borderId="1" fillId="6" fontId="15" numFmtId="0" xfId="0" applyAlignment="1" applyBorder="1" applyFont="1">
      <alignment horizontal="center" shrinkToFit="0" wrapText="1"/>
    </xf>
    <xf borderId="1" fillId="6" fontId="15" numFmtId="2" xfId="0" applyAlignment="1" applyBorder="1" applyFont="1" applyNumberFormat="1">
      <alignment horizontal="center" shrinkToFit="0" wrapText="1"/>
    </xf>
    <xf borderId="0" fillId="6" fontId="15" numFmtId="0" xfId="0" applyFont="1"/>
    <xf borderId="2" fillId="6" fontId="22" numFmtId="0" xfId="0" applyAlignment="1" applyBorder="1" applyFont="1">
      <alignment horizontal="center" shrinkToFit="0" wrapText="1"/>
    </xf>
    <xf borderId="1" fillId="6" fontId="22" numFmtId="2" xfId="0" applyAlignment="1" applyBorder="1" applyFont="1" applyNumberFormat="1">
      <alignment horizontal="center" shrinkToFit="0" wrapText="1"/>
    </xf>
    <xf borderId="0" fillId="0" fontId="15" numFmtId="0" xfId="0" applyFont="1"/>
    <xf borderId="8" fillId="6" fontId="22" numFmtId="2" xfId="0" applyAlignment="1" applyBorder="1" applyFont="1" applyNumberFormat="1">
      <alignment horizontal="center" shrinkToFit="0" wrapText="1"/>
    </xf>
    <xf borderId="9" fillId="6" fontId="15" numFmtId="2" xfId="0" applyBorder="1" applyFont="1" applyNumberFormat="1"/>
    <xf borderId="9" fillId="0" fontId="15" numFmtId="2" xfId="0" applyBorder="1" applyFont="1" applyNumberFormat="1"/>
    <xf borderId="10" fillId="0" fontId="15" numFmtId="2" xfId="0" applyBorder="1" applyFont="1" applyNumberFormat="1"/>
    <xf borderId="0" fillId="6" fontId="24" numFmtId="0" xfId="0" applyAlignment="1" applyFont="1">
      <alignment horizontal="center"/>
    </xf>
    <xf borderId="1" fillId="6" fontId="25" numFmtId="0" xfId="0" applyAlignment="1" applyBorder="1" applyFont="1">
      <alignment horizontal="center" shrinkToFit="0" wrapText="1"/>
    </xf>
    <xf borderId="1" fillId="6" fontId="23" numFmtId="0" xfId="0" applyAlignment="1" applyBorder="1" applyFont="1">
      <alignment horizontal="center" vertical="bottom"/>
    </xf>
    <xf borderId="1" fillId="6" fontId="15" numFmtId="2" xfId="0" applyAlignment="1" applyBorder="1" applyFont="1" applyNumberFormat="1">
      <alignment vertical="bottom"/>
    </xf>
    <xf borderId="1" fillId="6" fontId="15" numFmtId="0" xfId="0" applyAlignment="1" applyBorder="1" applyFont="1">
      <alignment horizontal="center" vertical="bottom"/>
    </xf>
    <xf borderId="1" fillId="6" fontId="15" numFmtId="2" xfId="0" applyAlignment="1" applyBorder="1" applyFont="1" applyNumberFormat="1">
      <alignment horizontal="center" vertical="bottom"/>
    </xf>
    <xf borderId="1" fillId="6" fontId="15" numFmtId="0" xfId="0" applyAlignment="1" applyBorder="1" applyFont="1">
      <alignment shrinkToFit="0" wrapText="1"/>
    </xf>
    <xf borderId="0" fillId="0" fontId="15" numFmtId="0" xfId="0" applyAlignment="1" applyFont="1">
      <alignment vertical="bottom"/>
    </xf>
    <xf borderId="1" fillId="6" fontId="23" numFmtId="0" xfId="0" applyAlignment="1" applyBorder="1" applyFont="1">
      <alignment horizontal="center" shrinkToFit="0" vertical="bottom" wrapText="1"/>
    </xf>
    <xf borderId="1" fillId="6" fontId="15" numFmtId="0" xfId="0" applyAlignment="1" applyBorder="1" applyFont="1">
      <alignment horizontal="center" shrinkToFit="0" vertical="bottom" wrapText="1"/>
    </xf>
    <xf borderId="1" fillId="6" fontId="15" numFmtId="2" xfId="0" applyAlignment="1" applyBorder="1" applyFont="1" applyNumberFormat="1">
      <alignment horizontal="center" shrinkToFit="0" vertical="bottom" wrapText="1"/>
    </xf>
    <xf borderId="2" fillId="6" fontId="22" numFmtId="0" xfId="0" applyAlignment="1" applyBorder="1" applyFont="1">
      <alignment horizontal="center" shrinkToFit="0" vertical="bottom" wrapText="1"/>
    </xf>
    <xf borderId="1" fillId="6" fontId="22" numFmtId="2" xfId="0" applyAlignment="1" applyBorder="1" applyFont="1" applyNumberFormat="1">
      <alignment horizontal="center" shrinkToFit="0" vertical="bottom" wrapText="1"/>
    </xf>
    <xf borderId="8" fillId="6" fontId="22" numFmtId="2" xfId="0" applyAlignment="1" applyBorder="1" applyFont="1" applyNumberFormat="1">
      <alignment horizontal="center" shrinkToFit="0" vertical="bottom" wrapText="1"/>
    </xf>
    <xf borderId="9" fillId="6" fontId="15" numFmtId="2" xfId="0" applyAlignment="1" applyBorder="1" applyFont="1" applyNumberFormat="1">
      <alignment vertical="bottom"/>
    </xf>
    <xf borderId="9" fillId="0" fontId="15" numFmtId="2" xfId="0" applyAlignment="1" applyBorder="1" applyFont="1" applyNumberFormat="1">
      <alignment vertical="bottom"/>
    </xf>
    <xf borderId="10" fillId="0" fontId="15" numFmtId="2" xfId="0" applyAlignment="1" applyBorder="1" applyFont="1" applyNumberFormat="1">
      <alignment vertical="bottom"/>
    </xf>
    <xf borderId="0" fillId="6" fontId="21" numFmtId="0" xfId="0" applyAlignment="1" applyFont="1">
      <alignment horizontal="left" readingOrder="0" shrinkToFit="0" vertical="bottom" wrapText="0"/>
    </xf>
    <xf borderId="0" fillId="0" fontId="24" numFmtId="0" xfId="0" applyAlignment="1" applyFont="1">
      <alignment horizontal="center"/>
    </xf>
    <xf borderId="1" fillId="0" fontId="25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vertical="bottom"/>
    </xf>
    <xf borderId="1" fillId="0" fontId="15" numFmtId="0" xfId="0" applyAlignment="1" applyBorder="1" applyFont="1">
      <alignment vertical="bottom"/>
    </xf>
    <xf borderId="1" fillId="0" fontId="15" numFmtId="2" xfId="0" applyAlignment="1" applyBorder="1" applyFont="1" applyNumberFormat="1">
      <alignment vertical="bottom"/>
    </xf>
    <xf borderId="1" fillId="0" fontId="15" numFmtId="0" xfId="0" applyAlignment="1" applyBorder="1" applyFont="1">
      <alignment horizontal="center" vertical="bottom"/>
    </xf>
    <xf borderId="1" fillId="0" fontId="15" numFmtId="2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horizontal="center" shrinkToFit="0" wrapText="1"/>
    </xf>
    <xf borderId="1" fillId="0" fontId="15" numFmtId="2" xfId="0" applyAlignment="1" applyBorder="1" applyFont="1" applyNumberFormat="1">
      <alignment horizontal="center" shrinkToFit="0" wrapText="1"/>
    </xf>
    <xf borderId="1" fillId="0" fontId="23" numFmtId="0" xfId="0" applyAlignment="1" applyBorder="1" applyFont="1">
      <alignment horizontal="center" shrinkToFit="0" wrapText="1"/>
    </xf>
    <xf borderId="1" fillId="0" fontId="15" numFmtId="0" xfId="0" applyBorder="1" applyFont="1"/>
    <xf borderId="1" fillId="0" fontId="15" numFmtId="2" xfId="0" applyBorder="1" applyFont="1" applyNumberFormat="1"/>
    <xf borderId="0" fillId="0" fontId="15" numFmtId="0" xfId="0" applyAlignment="1" applyFont="1">
      <alignment horizontal="center" vertical="bottom"/>
    </xf>
    <xf borderId="1" fillId="0" fontId="15" numFmtId="0" xfId="0" applyAlignment="1" applyBorder="1" applyFont="1">
      <alignment shrinkToFit="0" wrapText="1"/>
    </xf>
    <xf borderId="0" fillId="3" fontId="15" numFmtId="0" xfId="0" applyAlignment="1" applyFont="1">
      <alignment vertical="bottom"/>
    </xf>
    <xf borderId="2" fillId="0" fontId="22" numFmtId="0" xfId="0" applyAlignment="1" applyBorder="1" applyFont="1">
      <alignment horizontal="center" shrinkToFit="0" wrapText="1"/>
    </xf>
    <xf borderId="1" fillId="0" fontId="22" numFmtId="2" xfId="0" applyAlignment="1" applyBorder="1" applyFont="1" applyNumberFormat="1">
      <alignment horizontal="center" shrinkToFit="0" wrapText="1"/>
    </xf>
    <xf borderId="8" fillId="0" fontId="22" numFmtId="2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33.14"/>
    <col customWidth="1" min="3" max="3" width="21.57"/>
    <col customWidth="1" min="4" max="4" width="23.0"/>
    <col customWidth="1" min="5" max="5" width="25.43"/>
    <col customWidth="1" min="6" max="7" width="11.57"/>
    <col customWidth="1" min="8" max="25" width="8.71"/>
  </cols>
  <sheetData>
    <row r="1" ht="21.0" customHeight="1">
      <c r="A1" s="1" t="s">
        <v>0</v>
      </c>
      <c r="F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/>
      <c r="F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7.25" customHeight="1">
      <c r="A3" s="4" t="s">
        <v>1</v>
      </c>
      <c r="B3" s="5"/>
      <c r="C3" s="6"/>
      <c r="D3" s="6"/>
      <c r="E3" s="7"/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9" t="s">
        <v>7</v>
      </c>
      <c r="B6" s="10"/>
      <c r="C6" s="10" t="s">
        <v>8</v>
      </c>
      <c r="D6" s="10" t="s">
        <v>9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11"/>
      <c r="B7" s="12"/>
      <c r="C7" s="11"/>
      <c r="D7" s="11"/>
      <c r="E7" s="1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1"/>
      <c r="B8" s="12"/>
      <c r="C8" s="11"/>
      <c r="D8" s="11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11"/>
      <c r="B9" s="12"/>
      <c r="C9" s="11"/>
      <c r="D9" s="11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11"/>
      <c r="B10" s="12"/>
      <c r="C10" s="11"/>
      <c r="D10" s="11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13"/>
      <c r="B11" s="14"/>
      <c r="C11" s="13"/>
      <c r="D11" s="13"/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7.5" customHeight="1">
      <c r="A12" s="15" t="s">
        <v>10</v>
      </c>
      <c r="B12" s="15"/>
      <c r="C12" s="15" t="s">
        <v>11</v>
      </c>
      <c r="D12" s="15" t="s">
        <v>9</v>
      </c>
      <c r="E12" s="1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0.5" customHeight="1">
      <c r="A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16" t="s">
        <v>12</v>
      </c>
      <c r="B14" s="17" t="s">
        <v>13</v>
      </c>
      <c r="C14" s="18"/>
      <c r="D14" s="19"/>
      <c r="E14" s="20" t="s">
        <v>14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0" customHeight="1">
      <c r="A15" s="21" t="s">
        <v>15</v>
      </c>
      <c r="B15" s="22" t="s">
        <v>16</v>
      </c>
      <c r="C15" s="23"/>
      <c r="D15" s="24"/>
      <c r="E15" s="1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3:E13"/>
    <mergeCell ref="B14:D14"/>
    <mergeCell ref="E14:E15"/>
    <mergeCell ref="B15:D15"/>
    <mergeCell ref="A1:E1"/>
    <mergeCell ref="A2:E2"/>
    <mergeCell ref="B3:E3"/>
    <mergeCell ref="A4:E4"/>
    <mergeCell ref="A6:A11"/>
    <mergeCell ref="C6:C11"/>
    <mergeCell ref="D6:D11"/>
  </mergeCells>
  <printOptions/>
  <pageMargins bottom="0.7875" footer="0.0" header="0.0" left="0.7875" right="0.7875" top="0.7875"/>
  <pageSetup paperSize="9" scale="2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09.71"/>
    <col customWidth="1" min="3" max="3" width="13.14"/>
    <col customWidth="1" min="4" max="5" width="13.29"/>
    <col customWidth="1" min="6" max="6" width="13.71"/>
    <col customWidth="1" min="7" max="7" width="13.29"/>
    <col customWidth="1" min="8" max="8" width="118.71"/>
    <col customWidth="1" min="9" max="28" width="9.14"/>
  </cols>
  <sheetData>
    <row r="1">
      <c r="A1" s="1" t="s">
        <v>0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ht="15.75" customHeight="1">
      <c r="A2" s="26"/>
      <c r="B2" s="26"/>
      <c r="C2" s="26"/>
      <c r="D2" s="26"/>
      <c r="E2" s="26"/>
      <c r="F2" s="26"/>
      <c r="G2" s="27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ht="15.75" customHeight="1">
      <c r="A3" s="28" t="s">
        <v>17</v>
      </c>
      <c r="B3" s="28" t="s">
        <v>18</v>
      </c>
      <c r="C3" s="28" t="s">
        <v>19</v>
      </c>
      <c r="D3" s="28" t="s">
        <v>20</v>
      </c>
      <c r="E3" s="28" t="s">
        <v>21</v>
      </c>
      <c r="F3" s="28" t="s">
        <v>22</v>
      </c>
      <c r="G3" s="28" t="s">
        <v>23</v>
      </c>
      <c r="H3" s="29" t="s">
        <v>24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13.5" customHeight="1">
      <c r="A4" s="31" t="s">
        <v>25</v>
      </c>
      <c r="B4" s="32" t="s">
        <v>26</v>
      </c>
      <c r="C4" s="32">
        <v>3120419.0</v>
      </c>
      <c r="D4" s="33">
        <v>0.27</v>
      </c>
      <c r="E4" s="34">
        <v>1.0</v>
      </c>
      <c r="F4" s="33">
        <f>D4*E4</f>
        <v>0.27</v>
      </c>
      <c r="G4" s="32" t="s">
        <v>27</v>
      </c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ht="13.5" customHeight="1">
      <c r="A5" s="37" t="s">
        <v>28</v>
      </c>
      <c r="B5" s="38" t="s">
        <v>29</v>
      </c>
      <c r="C5" s="38">
        <v>2668408.0</v>
      </c>
      <c r="D5" s="39">
        <v>0.15</v>
      </c>
      <c r="E5" s="38">
        <v>1.0</v>
      </c>
      <c r="F5" s="39">
        <v>0.15</v>
      </c>
      <c r="G5" s="38" t="s">
        <v>27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ht="13.5" customHeight="1">
      <c r="A6" s="37" t="s">
        <v>30</v>
      </c>
      <c r="B6" s="38" t="s">
        <v>31</v>
      </c>
      <c r="C6" s="38">
        <v>1292245.0</v>
      </c>
      <c r="D6" s="39">
        <v>0.34</v>
      </c>
      <c r="E6" s="38">
        <v>1.0</v>
      </c>
      <c r="F6" s="39">
        <v>0.34</v>
      </c>
      <c r="G6" s="38" t="s">
        <v>27</v>
      </c>
      <c r="H6" s="35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13.5" customHeight="1">
      <c r="A7" s="37" t="s">
        <v>32</v>
      </c>
      <c r="B7" s="38" t="s">
        <v>33</v>
      </c>
      <c r="C7" s="38">
        <v>3124181.0</v>
      </c>
      <c r="D7" s="39">
        <v>1.18</v>
      </c>
      <c r="E7" s="38">
        <v>1.0</v>
      </c>
      <c r="F7" s="39">
        <v>1.18</v>
      </c>
      <c r="G7" s="38" t="s">
        <v>27</v>
      </c>
      <c r="H7" s="35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ht="13.5" customHeight="1">
      <c r="A8" s="37" t="s">
        <v>34</v>
      </c>
      <c r="B8" s="38" t="s">
        <v>35</v>
      </c>
      <c r="C8" s="38">
        <v>1045472.0</v>
      </c>
      <c r="D8" s="39">
        <v>0.31</v>
      </c>
      <c r="E8" s="38">
        <v>1.0</v>
      </c>
      <c r="F8" s="39">
        <v>0.31</v>
      </c>
      <c r="G8" s="38" t="s">
        <v>27</v>
      </c>
      <c r="H8" s="40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ht="13.5" customHeight="1">
      <c r="A9" s="37"/>
      <c r="B9" s="38" t="s">
        <v>36</v>
      </c>
      <c r="C9" s="38">
        <v>1735247.0</v>
      </c>
      <c r="D9" s="39">
        <v>0.5</v>
      </c>
      <c r="E9" s="38">
        <v>1.0</v>
      </c>
      <c r="F9" s="39">
        <v>0.5</v>
      </c>
      <c r="G9" s="38" t="s">
        <v>27</v>
      </c>
      <c r="H9" s="40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ht="13.5" customHeight="1">
      <c r="A10" s="37"/>
      <c r="B10" s="38" t="s">
        <v>37</v>
      </c>
      <c r="C10" s="38">
        <v>3130195.0</v>
      </c>
      <c r="D10" s="39">
        <v>0.13</v>
      </c>
      <c r="E10" s="38">
        <v>1.0</v>
      </c>
      <c r="F10" s="39">
        <v>0.13</v>
      </c>
      <c r="G10" s="38" t="s">
        <v>27</v>
      </c>
      <c r="H10" s="40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ht="13.5" customHeight="1">
      <c r="A11" s="37" t="s">
        <v>38</v>
      </c>
      <c r="B11" s="38" t="s">
        <v>39</v>
      </c>
      <c r="C11" s="38">
        <v>2435145.0</v>
      </c>
      <c r="D11" s="39">
        <v>0.49</v>
      </c>
      <c r="E11" s="38">
        <v>1.0</v>
      </c>
      <c r="F11" s="39">
        <v>0.49</v>
      </c>
      <c r="G11" s="38" t="s">
        <v>27</v>
      </c>
      <c r="H11" s="40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ht="13.5" customHeight="1">
      <c r="A12" s="41" t="s">
        <v>40</v>
      </c>
      <c r="B12" s="42" t="s">
        <v>41</v>
      </c>
      <c r="C12" s="42">
        <v>3122722.0</v>
      </c>
      <c r="D12" s="43">
        <v>0.39</v>
      </c>
      <c r="E12" s="42">
        <v>1.0</v>
      </c>
      <c r="F12" s="43">
        <v>0.39</v>
      </c>
      <c r="G12" s="42" t="s">
        <v>27</v>
      </c>
      <c r="H12" s="40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ht="13.5" customHeight="1">
      <c r="A13" s="41" t="s">
        <v>42</v>
      </c>
      <c r="B13" s="32" t="s">
        <v>43</v>
      </c>
      <c r="C13" s="32">
        <v>3650048.0</v>
      </c>
      <c r="D13" s="33">
        <v>0.0272</v>
      </c>
      <c r="E13" s="34">
        <v>1.0</v>
      </c>
      <c r="F13" s="33">
        <f t="shared" ref="F13:F20" si="1">D13*E13</f>
        <v>0.0272</v>
      </c>
      <c r="G13" s="32" t="s">
        <v>27</v>
      </c>
      <c r="H13" s="40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ht="13.5" customHeight="1">
      <c r="A14" s="41"/>
      <c r="B14" s="32" t="s">
        <v>44</v>
      </c>
      <c r="C14" s="32">
        <v>3650060.0</v>
      </c>
      <c r="D14" s="33">
        <v>0.0272</v>
      </c>
      <c r="E14" s="34">
        <v>1.0</v>
      </c>
      <c r="F14" s="33">
        <f t="shared" si="1"/>
        <v>0.0272</v>
      </c>
      <c r="G14" s="32" t="s">
        <v>27</v>
      </c>
      <c r="H14" s="40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ht="13.5" customHeight="1">
      <c r="A15" s="41"/>
      <c r="B15" s="32" t="s">
        <v>45</v>
      </c>
      <c r="C15" s="32">
        <v>3650070.0</v>
      </c>
      <c r="D15" s="33">
        <v>0.0272</v>
      </c>
      <c r="E15" s="34">
        <v>1.0</v>
      </c>
      <c r="F15" s="33">
        <f t="shared" si="1"/>
        <v>0.0272</v>
      </c>
      <c r="G15" s="32" t="s">
        <v>27</v>
      </c>
      <c r="H15" s="40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ht="13.5" customHeight="1">
      <c r="A16" s="41"/>
      <c r="B16" s="32" t="s">
        <v>46</v>
      </c>
      <c r="C16" s="32">
        <v>3650074.0</v>
      </c>
      <c r="D16" s="33">
        <v>0.0272</v>
      </c>
      <c r="E16" s="34">
        <v>1.0</v>
      </c>
      <c r="F16" s="33">
        <f t="shared" si="1"/>
        <v>0.0272</v>
      </c>
      <c r="G16" s="32" t="s">
        <v>27</v>
      </c>
      <c r="H16" s="40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ht="13.5" customHeight="1">
      <c r="A17" s="41"/>
      <c r="B17" s="32" t="s">
        <v>47</v>
      </c>
      <c r="C17" s="32">
        <v>3650089.0</v>
      </c>
      <c r="D17" s="33">
        <v>0.0272</v>
      </c>
      <c r="E17" s="34">
        <v>1.0</v>
      </c>
      <c r="F17" s="33">
        <f t="shared" si="1"/>
        <v>0.0272</v>
      </c>
      <c r="G17" s="32" t="s">
        <v>27</v>
      </c>
      <c r="H17" s="40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ht="13.5" customHeight="1">
      <c r="A18" s="41"/>
      <c r="B18" s="32" t="s">
        <v>48</v>
      </c>
      <c r="C18" s="32">
        <v>3650093.0</v>
      </c>
      <c r="D18" s="33">
        <v>0.0272</v>
      </c>
      <c r="E18" s="34">
        <v>1.0</v>
      </c>
      <c r="F18" s="33">
        <f t="shared" si="1"/>
        <v>0.0272</v>
      </c>
      <c r="G18" s="32" t="s">
        <v>27</v>
      </c>
      <c r="H18" s="40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3.5" customHeight="1">
      <c r="A19" s="41"/>
      <c r="B19" s="32" t="s">
        <v>49</v>
      </c>
      <c r="C19" s="32">
        <v>3650106.0</v>
      </c>
      <c r="D19" s="33">
        <v>0.0272</v>
      </c>
      <c r="E19" s="34">
        <v>1.0</v>
      </c>
      <c r="F19" s="33">
        <f t="shared" si="1"/>
        <v>0.0272</v>
      </c>
      <c r="G19" s="32" t="s">
        <v>27</v>
      </c>
      <c r="H19" s="40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ht="13.5" customHeight="1">
      <c r="A20" s="41"/>
      <c r="B20" s="32" t="s">
        <v>50</v>
      </c>
      <c r="C20" s="32">
        <v>3650114.0</v>
      </c>
      <c r="D20" s="33">
        <v>0.0272</v>
      </c>
      <c r="E20" s="34">
        <v>1.0</v>
      </c>
      <c r="F20" s="33">
        <f t="shared" si="1"/>
        <v>0.0272</v>
      </c>
      <c r="G20" s="32" t="s">
        <v>27</v>
      </c>
      <c r="H20" s="40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ht="13.5" customHeight="1">
      <c r="A21" s="37" t="s">
        <v>51</v>
      </c>
      <c r="B21" s="38" t="s">
        <v>52</v>
      </c>
      <c r="C21" s="38">
        <v>1267743.0</v>
      </c>
      <c r="D21" s="39">
        <v>43.05</v>
      </c>
      <c r="E21" s="38">
        <v>0.033</v>
      </c>
      <c r="F21" s="39">
        <v>1.42</v>
      </c>
      <c r="G21" s="38" t="s">
        <v>27</v>
      </c>
      <c r="H21" s="40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ht="13.5" customHeight="1">
      <c r="A22" s="44" t="s">
        <v>53</v>
      </c>
      <c r="B22" s="45" t="s">
        <v>54</v>
      </c>
      <c r="C22" s="45">
        <v>2860137.0</v>
      </c>
      <c r="D22" s="46">
        <v>0.31</v>
      </c>
      <c r="E22" s="47">
        <v>1.0</v>
      </c>
      <c r="F22" s="33">
        <f t="shared" ref="F22:F23" si="2">D22*E22</f>
        <v>0.31</v>
      </c>
      <c r="G22" s="45" t="s">
        <v>27</v>
      </c>
      <c r="H22" s="40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ht="13.5" customHeight="1">
      <c r="A23" s="37"/>
      <c r="B23" s="45" t="s">
        <v>55</v>
      </c>
      <c r="C23" s="45">
        <v>2507750.0</v>
      </c>
      <c r="D23" s="46">
        <v>0.08</v>
      </c>
      <c r="E23" s="47">
        <v>1.0</v>
      </c>
      <c r="F23" s="33">
        <f t="shared" si="2"/>
        <v>0.08</v>
      </c>
      <c r="G23" s="45" t="s">
        <v>27</v>
      </c>
      <c r="H23" s="40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ht="13.5" customHeight="1">
      <c r="A24" s="37" t="s">
        <v>56</v>
      </c>
      <c r="B24" s="38" t="s">
        <v>57</v>
      </c>
      <c r="C24" s="38">
        <v>8000.0</v>
      </c>
      <c r="D24" s="39">
        <v>0.5</v>
      </c>
      <c r="E24" s="38">
        <v>0.02</v>
      </c>
      <c r="F24" s="39">
        <v>0.01</v>
      </c>
      <c r="G24" s="38" t="s">
        <v>58</v>
      </c>
      <c r="H24" s="48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5.75" customHeight="1">
      <c r="A25" s="49"/>
      <c r="B25" s="49"/>
      <c r="C25" s="49"/>
      <c r="D25" s="49"/>
      <c r="E25" s="49"/>
      <c r="F25" s="49"/>
      <c r="G25" s="50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B26" s="36"/>
      <c r="C26" s="36"/>
      <c r="D26" s="51" t="s">
        <v>59</v>
      </c>
      <c r="E26" s="7"/>
      <c r="F26" s="52">
        <f>SUM(F4:F25)</f>
        <v>5.7976</v>
      </c>
      <c r="G26" s="36"/>
      <c r="H26" s="53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ht="28.5" customHeight="1">
      <c r="B27" s="36"/>
      <c r="C27" s="36"/>
      <c r="D27" s="51" t="s">
        <v>60</v>
      </c>
      <c r="E27" s="7"/>
      <c r="F27" s="52">
        <f>F26*1.2</f>
        <v>6.95712</v>
      </c>
      <c r="G27" s="36"/>
      <c r="H27" s="53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ht="28.5" customHeight="1">
      <c r="B28" s="36"/>
      <c r="C28" s="36"/>
      <c r="D28" s="54"/>
      <c r="E28" s="54"/>
      <c r="F28" s="55"/>
      <c r="G28" s="36"/>
      <c r="H28" s="53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>
      <c r="A29" s="56" t="s">
        <v>61</v>
      </c>
      <c r="B29" s="51" t="s">
        <v>62</v>
      </c>
      <c r="C29" s="7"/>
      <c r="D29" s="56" t="s">
        <v>63</v>
      </c>
      <c r="E29" s="56" t="s">
        <v>21</v>
      </c>
      <c r="F29" s="56" t="s">
        <v>64</v>
      </c>
      <c r="G29" s="56" t="s">
        <v>65</v>
      </c>
      <c r="H29" s="53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ht="16.5" customHeight="1">
      <c r="A30" s="57" t="s">
        <v>66</v>
      </c>
      <c r="B30" s="58" t="s">
        <v>67</v>
      </c>
      <c r="C30" s="7"/>
      <c r="D30" s="59">
        <v>50.0</v>
      </c>
      <c r="E30" s="60"/>
      <c r="F30" s="59">
        <f t="shared" ref="F30:F33" si="3">D30*E30</f>
        <v>0</v>
      </c>
      <c r="G30" s="57"/>
      <c r="H30" s="53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ht="15.75" customHeight="1">
      <c r="A31" s="57" t="s">
        <v>68</v>
      </c>
      <c r="B31" s="61" t="s">
        <v>69</v>
      </c>
      <c r="C31" s="7"/>
      <c r="D31" s="59">
        <v>50.0</v>
      </c>
      <c r="E31" s="60"/>
      <c r="F31" s="59">
        <f t="shared" si="3"/>
        <v>0</v>
      </c>
      <c r="G31" s="57"/>
      <c r="H31" s="53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ht="15.75" customHeight="1">
      <c r="A32" s="57" t="s">
        <v>70</v>
      </c>
      <c r="B32" s="61" t="s">
        <v>71</v>
      </c>
      <c r="C32" s="7"/>
      <c r="D32" s="59">
        <v>50.0</v>
      </c>
      <c r="E32" s="60"/>
      <c r="F32" s="59">
        <f t="shared" si="3"/>
        <v>0</v>
      </c>
      <c r="G32" s="57"/>
      <c r="H32" s="53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ht="15.75" customHeight="1">
      <c r="A33" s="57" t="s">
        <v>72</v>
      </c>
      <c r="B33" s="61" t="s">
        <v>73</v>
      </c>
      <c r="C33" s="7"/>
      <c r="D33" s="59">
        <v>50.0</v>
      </c>
      <c r="E33" s="60"/>
      <c r="F33" s="59">
        <f t="shared" si="3"/>
        <v>0</v>
      </c>
      <c r="G33" s="57"/>
      <c r="H33" s="53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ht="26.25" customHeight="1">
      <c r="A34" s="62"/>
      <c r="B34" s="63"/>
      <c r="C34" s="63"/>
      <c r="D34" s="51" t="s">
        <v>74</v>
      </c>
      <c r="E34" s="7"/>
      <c r="F34" s="52">
        <f>SUM(F30:F33)</f>
        <v>0</v>
      </c>
      <c r="G34" s="30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ht="15.75" customHeight="1">
      <c r="A35" s="64"/>
      <c r="B35" s="64"/>
      <c r="F35" s="49"/>
      <c r="G35" s="50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ht="15.75" customHeight="1">
      <c r="A36" s="16" t="s">
        <v>12</v>
      </c>
      <c r="B36" s="65" t="s">
        <v>75</v>
      </c>
      <c r="C36" s="18"/>
      <c r="D36" s="18"/>
      <c r="E36" s="18"/>
      <c r="F36" s="18"/>
      <c r="G36" s="19"/>
      <c r="H36" s="66" t="s">
        <v>76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21" t="s">
        <v>15</v>
      </c>
      <c r="B37" s="67"/>
      <c r="C37" s="23"/>
      <c r="D37" s="23"/>
      <c r="E37" s="23"/>
      <c r="F37" s="23"/>
      <c r="G37" s="24"/>
      <c r="H37" s="13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ht="15.75" customHeight="1">
      <c r="A38" s="49"/>
      <c r="B38" s="49"/>
      <c r="C38" s="49"/>
      <c r="D38" s="49"/>
      <c r="E38" s="49"/>
      <c r="F38" s="49"/>
      <c r="G38" s="50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ht="15.75" customHeight="1">
      <c r="A39" s="49"/>
      <c r="B39" s="49"/>
      <c r="C39" s="49"/>
      <c r="D39" s="49"/>
      <c r="E39" s="49"/>
      <c r="F39" s="49"/>
      <c r="G39" s="50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ht="15.75" customHeight="1">
      <c r="A40" s="49"/>
      <c r="B40" s="49"/>
      <c r="C40" s="49"/>
      <c r="D40" s="49"/>
      <c r="E40" s="49"/>
      <c r="F40" s="49"/>
      <c r="G40" s="50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ht="15.75" customHeight="1">
      <c r="A41" s="49"/>
      <c r="B41" s="49"/>
      <c r="C41" s="49"/>
      <c r="D41" s="49"/>
      <c r="E41" s="49"/>
      <c r="F41" s="49"/>
      <c r="G41" s="50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ht="15.75" customHeight="1">
      <c r="A42" s="49"/>
      <c r="B42" s="49"/>
      <c r="C42" s="49"/>
      <c r="D42" s="49"/>
      <c r="E42" s="49"/>
      <c r="F42" s="49"/>
      <c r="G42" s="50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ht="15.75" customHeight="1">
      <c r="A43" s="49"/>
      <c r="B43" s="49"/>
      <c r="C43" s="49"/>
      <c r="D43" s="49"/>
      <c r="E43" s="49"/>
      <c r="F43" s="49"/>
      <c r="G43" s="50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ht="15.75" customHeight="1">
      <c r="A44" s="49"/>
      <c r="B44" s="49"/>
      <c r="C44" s="49"/>
      <c r="D44" s="49"/>
      <c r="E44" s="49"/>
      <c r="F44" s="49"/>
      <c r="G44" s="50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ht="15.75" customHeight="1">
      <c r="A45" s="49"/>
      <c r="B45" s="49"/>
      <c r="C45" s="28" t="s">
        <v>17</v>
      </c>
      <c r="D45" s="28" t="s">
        <v>19</v>
      </c>
      <c r="E45" s="28" t="s">
        <v>20</v>
      </c>
      <c r="F45" s="28" t="s">
        <v>21</v>
      </c>
      <c r="G45" s="28" t="s">
        <v>22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ht="15.75" customHeight="1">
      <c r="A46" s="49"/>
      <c r="B46" s="49"/>
      <c r="C46" s="31" t="s">
        <v>25</v>
      </c>
      <c r="D46" s="32">
        <v>3120419.0</v>
      </c>
      <c r="E46" s="33">
        <v>0.27</v>
      </c>
      <c r="F46" s="34">
        <v>1.0</v>
      </c>
      <c r="G46" s="33">
        <f>E46*F46</f>
        <v>0.27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ht="15.75" customHeight="1">
      <c r="A47" s="49"/>
      <c r="B47" s="49"/>
      <c r="C47" s="37" t="s">
        <v>28</v>
      </c>
      <c r="D47" s="38">
        <v>2668408.0</v>
      </c>
      <c r="E47" s="39">
        <v>0.15</v>
      </c>
      <c r="F47" s="38">
        <v>1.0</v>
      </c>
      <c r="G47" s="39">
        <v>0.15</v>
      </c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ht="15.75" customHeight="1">
      <c r="A48" s="49"/>
      <c r="B48" s="49"/>
      <c r="C48" s="37" t="s">
        <v>30</v>
      </c>
      <c r="D48" s="38">
        <v>1292245.0</v>
      </c>
      <c r="E48" s="39">
        <v>0.34</v>
      </c>
      <c r="F48" s="38">
        <v>1.0</v>
      </c>
      <c r="G48" s="39">
        <v>0.34</v>
      </c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ht="15.75" customHeight="1">
      <c r="A49" s="49"/>
      <c r="B49" s="49"/>
      <c r="C49" s="37" t="s">
        <v>32</v>
      </c>
      <c r="D49" s="38">
        <v>3124181.0</v>
      </c>
      <c r="E49" s="39">
        <v>1.18</v>
      </c>
      <c r="F49" s="38">
        <v>1.0</v>
      </c>
      <c r="G49" s="39">
        <v>1.18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ht="15.75" customHeight="1">
      <c r="A50" s="49"/>
      <c r="B50" s="49"/>
      <c r="C50" s="37" t="s">
        <v>34</v>
      </c>
      <c r="D50" s="38">
        <v>1045472.0</v>
      </c>
      <c r="E50" s="39">
        <v>0.31</v>
      </c>
      <c r="F50" s="38">
        <v>1.0</v>
      </c>
      <c r="G50" s="39">
        <v>0.31</v>
      </c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ht="15.75" customHeight="1">
      <c r="A51" s="49"/>
      <c r="B51" s="49"/>
      <c r="C51" s="37"/>
      <c r="D51" s="38">
        <v>1735247.0</v>
      </c>
      <c r="E51" s="39">
        <v>0.5</v>
      </c>
      <c r="F51" s="38">
        <v>1.0</v>
      </c>
      <c r="G51" s="39">
        <v>0.5</v>
      </c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ht="15.75" customHeight="1">
      <c r="A52" s="49"/>
      <c r="B52" s="49"/>
      <c r="C52" s="37"/>
      <c r="D52" s="38">
        <v>3130195.0</v>
      </c>
      <c r="E52" s="39">
        <v>0.13</v>
      </c>
      <c r="F52" s="38">
        <v>1.0</v>
      </c>
      <c r="G52" s="39">
        <v>0.13</v>
      </c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ht="15.75" customHeight="1">
      <c r="A53" s="49"/>
      <c r="B53" s="49"/>
      <c r="C53" s="37" t="s">
        <v>38</v>
      </c>
      <c r="D53" s="38">
        <v>2435145.0</v>
      </c>
      <c r="E53" s="39">
        <v>0.49</v>
      </c>
      <c r="F53" s="38">
        <v>1.0</v>
      </c>
      <c r="G53" s="39">
        <v>0.49</v>
      </c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ht="15.75" customHeight="1">
      <c r="A54" s="49"/>
      <c r="B54" s="49"/>
      <c r="C54" s="41" t="s">
        <v>40</v>
      </c>
      <c r="D54" s="42">
        <v>3122722.0</v>
      </c>
      <c r="E54" s="43">
        <v>0.39</v>
      </c>
      <c r="F54" s="42">
        <v>1.0</v>
      </c>
      <c r="G54" s="43">
        <v>0.39</v>
      </c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ht="15.75" customHeight="1">
      <c r="A55" s="49"/>
      <c r="B55" s="49"/>
      <c r="C55" s="41" t="s">
        <v>42</v>
      </c>
      <c r="D55" s="32">
        <v>3650048.0</v>
      </c>
      <c r="E55" s="33">
        <v>0.0272</v>
      </c>
      <c r="F55" s="34">
        <v>1.0</v>
      </c>
      <c r="G55" s="33">
        <f t="shared" ref="G55:G62" si="4">E55*F55</f>
        <v>0.0272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ht="15.75" customHeight="1">
      <c r="A56" s="49"/>
      <c r="B56" s="49"/>
      <c r="C56" s="41"/>
      <c r="D56" s="32">
        <v>3650060.0</v>
      </c>
      <c r="E56" s="33">
        <v>0.0272</v>
      </c>
      <c r="F56" s="34">
        <v>1.0</v>
      </c>
      <c r="G56" s="33">
        <f t="shared" si="4"/>
        <v>0.0272</v>
      </c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ht="15.75" customHeight="1">
      <c r="A57" s="49"/>
      <c r="B57" s="49"/>
      <c r="C57" s="41"/>
      <c r="D57" s="32">
        <v>3650070.0</v>
      </c>
      <c r="E57" s="33">
        <v>0.0272</v>
      </c>
      <c r="F57" s="34">
        <v>1.0</v>
      </c>
      <c r="G57" s="33">
        <f t="shared" si="4"/>
        <v>0.0272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ht="15.75" customHeight="1">
      <c r="A58" s="49"/>
      <c r="B58" s="49"/>
      <c r="C58" s="41"/>
      <c r="D58" s="32">
        <v>3650074.0</v>
      </c>
      <c r="E58" s="33">
        <v>0.0272</v>
      </c>
      <c r="F58" s="34">
        <v>1.0</v>
      </c>
      <c r="G58" s="33">
        <f t="shared" si="4"/>
        <v>0.0272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ht="15.75" customHeight="1">
      <c r="A59" s="49"/>
      <c r="B59" s="49"/>
      <c r="C59" s="41"/>
      <c r="D59" s="32">
        <v>3650089.0</v>
      </c>
      <c r="E59" s="33">
        <v>0.0272</v>
      </c>
      <c r="F59" s="34">
        <v>1.0</v>
      </c>
      <c r="G59" s="33">
        <f t="shared" si="4"/>
        <v>0.0272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ht="15.75" customHeight="1">
      <c r="A60" s="49"/>
      <c r="B60" s="49"/>
      <c r="C60" s="41"/>
      <c r="D60" s="32">
        <v>3650093.0</v>
      </c>
      <c r="E60" s="33">
        <v>0.0272</v>
      </c>
      <c r="F60" s="34">
        <v>1.0</v>
      </c>
      <c r="G60" s="33">
        <f t="shared" si="4"/>
        <v>0.0272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ht="15.75" customHeight="1">
      <c r="A61" s="49"/>
      <c r="B61" s="49"/>
      <c r="C61" s="41"/>
      <c r="D61" s="32">
        <v>3650106.0</v>
      </c>
      <c r="E61" s="33">
        <v>0.0272</v>
      </c>
      <c r="F61" s="34">
        <v>1.0</v>
      </c>
      <c r="G61" s="33">
        <f t="shared" si="4"/>
        <v>0.0272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ht="15.75" customHeight="1">
      <c r="A62" s="49"/>
      <c r="B62" s="49"/>
      <c r="C62" s="41"/>
      <c r="D62" s="32">
        <v>3650114.0</v>
      </c>
      <c r="E62" s="33">
        <v>0.0272</v>
      </c>
      <c r="F62" s="34">
        <v>1.0</v>
      </c>
      <c r="G62" s="33">
        <f t="shared" si="4"/>
        <v>0.0272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ht="15.75" customHeight="1">
      <c r="A63" s="49"/>
      <c r="B63" s="49"/>
      <c r="C63" s="37" t="s">
        <v>51</v>
      </c>
      <c r="D63" s="38">
        <v>1267743.0</v>
      </c>
      <c r="E63" s="39">
        <v>43.05</v>
      </c>
      <c r="F63" s="38">
        <v>0.033</v>
      </c>
      <c r="G63" s="39">
        <v>1.42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ht="15.75" customHeight="1">
      <c r="A64" s="49"/>
      <c r="B64" s="49"/>
      <c r="C64" s="44" t="s">
        <v>53</v>
      </c>
      <c r="D64" s="45">
        <v>2860137.0</v>
      </c>
      <c r="E64" s="46">
        <v>0.31</v>
      </c>
      <c r="F64" s="47">
        <v>1.0</v>
      </c>
      <c r="G64" s="33">
        <f t="shared" ref="G64:G65" si="5">E64*F64</f>
        <v>0.31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ht="15.75" customHeight="1">
      <c r="A65" s="49"/>
      <c r="B65" s="49"/>
      <c r="C65" s="37"/>
      <c r="D65" s="45">
        <v>2507750.0</v>
      </c>
      <c r="E65" s="46">
        <v>0.08</v>
      </c>
      <c r="F65" s="47">
        <v>1.0</v>
      </c>
      <c r="G65" s="33">
        <f t="shared" si="5"/>
        <v>0.08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ht="15.75" customHeight="1">
      <c r="A66" s="49"/>
      <c r="B66" s="49"/>
      <c r="C66" s="37" t="s">
        <v>56</v>
      </c>
      <c r="D66" s="38">
        <v>8000.0</v>
      </c>
      <c r="E66" s="39">
        <v>0.5</v>
      </c>
      <c r="F66" s="38">
        <v>0.02</v>
      </c>
      <c r="G66" s="39">
        <v>0.01</v>
      </c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ht="15.75" customHeight="1">
      <c r="A67" s="49"/>
      <c r="B67" s="49"/>
      <c r="C67" s="49"/>
      <c r="D67" s="49"/>
      <c r="E67" s="49"/>
      <c r="F67" s="49"/>
      <c r="G67" s="50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ht="15.75" customHeight="1">
      <c r="A68" s="49"/>
      <c r="B68" s="49"/>
      <c r="C68" s="49"/>
      <c r="D68" s="49"/>
      <c r="E68" s="49"/>
      <c r="F68" s="49"/>
      <c r="G68" s="50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ht="15.75" customHeight="1">
      <c r="A69" s="49"/>
      <c r="B69" s="49"/>
      <c r="C69" s="49"/>
      <c r="D69" s="49"/>
      <c r="E69" s="49"/>
      <c r="F69" s="49"/>
      <c r="G69" s="50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ht="15.75" customHeight="1">
      <c r="A70" s="49"/>
      <c r="B70" s="49"/>
      <c r="C70" s="51" t="s">
        <v>59</v>
      </c>
      <c r="D70" s="7"/>
      <c r="E70" s="52">
        <f>SUM(E48:E69)</f>
        <v>47.4976</v>
      </c>
      <c r="F70" s="49"/>
      <c r="G70" s="50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ht="15.75" customHeight="1">
      <c r="A71" s="49"/>
      <c r="B71" s="49"/>
      <c r="C71" s="51" t="s">
        <v>60</v>
      </c>
      <c r="D71" s="7"/>
      <c r="E71" s="52">
        <f>E70*1.2</f>
        <v>56.99712</v>
      </c>
      <c r="F71" s="49"/>
      <c r="G71" s="50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ht="15.75" customHeight="1">
      <c r="A72" s="49"/>
      <c r="B72" s="49"/>
      <c r="C72" s="49"/>
      <c r="D72" s="49"/>
      <c r="E72" s="49"/>
      <c r="F72" s="49"/>
      <c r="G72" s="50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ht="15.75" customHeight="1">
      <c r="A73" s="49"/>
      <c r="B73" s="49"/>
      <c r="C73" s="49"/>
      <c r="D73" s="49"/>
      <c r="E73" s="49"/>
      <c r="F73" s="49"/>
      <c r="G73" s="50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ht="15.75" customHeight="1">
      <c r="A74" s="49"/>
      <c r="B74" s="49"/>
      <c r="C74" s="49"/>
      <c r="D74" s="49"/>
      <c r="E74" s="49"/>
      <c r="F74" s="49"/>
      <c r="G74" s="50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ht="15.75" customHeight="1">
      <c r="A75" s="49"/>
      <c r="B75" s="49"/>
      <c r="C75" s="49"/>
      <c r="D75" s="49"/>
      <c r="E75" s="49"/>
      <c r="F75" s="49"/>
      <c r="G75" s="50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ht="15.75" customHeight="1">
      <c r="A76" s="49"/>
      <c r="B76" s="49"/>
      <c r="C76" s="49"/>
      <c r="D76" s="49"/>
      <c r="E76" s="49"/>
      <c r="F76" s="49"/>
      <c r="G76" s="50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ht="15.75" customHeight="1">
      <c r="A77" s="49"/>
      <c r="B77" s="49"/>
      <c r="C77" s="49"/>
      <c r="D77" s="49"/>
      <c r="E77" s="49"/>
      <c r="F77" s="49"/>
      <c r="G77" s="50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ht="15.75" customHeight="1">
      <c r="A78" s="49"/>
      <c r="B78" s="49"/>
      <c r="C78" s="49"/>
      <c r="D78" s="49"/>
      <c r="E78" s="49"/>
      <c r="F78" s="49"/>
      <c r="G78" s="50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ht="15.75" customHeight="1">
      <c r="A79" s="49"/>
      <c r="B79" s="49"/>
      <c r="C79" s="49"/>
      <c r="D79" s="49"/>
      <c r="E79" s="49"/>
      <c r="F79" s="49"/>
      <c r="G79" s="50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ht="15.75" customHeight="1">
      <c r="A80" s="49"/>
      <c r="B80" s="49"/>
      <c r="C80" s="49"/>
      <c r="D80" s="49"/>
      <c r="E80" s="49"/>
      <c r="F80" s="49"/>
      <c r="G80" s="50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ht="15.75" customHeight="1">
      <c r="A81" s="49"/>
      <c r="B81" s="49"/>
      <c r="C81" s="49"/>
      <c r="D81" s="49"/>
      <c r="E81" s="49"/>
      <c r="F81" s="49"/>
      <c r="G81" s="50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ht="15.75" customHeight="1">
      <c r="A82" s="49"/>
      <c r="B82" s="49"/>
      <c r="C82" s="49"/>
      <c r="D82" s="49"/>
      <c r="E82" s="49"/>
      <c r="F82" s="49"/>
      <c r="G82" s="50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ht="15.75" customHeight="1">
      <c r="A83" s="49"/>
      <c r="B83" s="49"/>
      <c r="C83" s="49"/>
      <c r="D83" s="49"/>
      <c r="E83" s="49"/>
      <c r="F83" s="49"/>
      <c r="G83" s="50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ht="15.75" customHeight="1">
      <c r="A84" s="49"/>
      <c r="B84" s="49"/>
      <c r="C84" s="49"/>
      <c r="D84" s="49"/>
      <c r="E84" s="49"/>
      <c r="F84" s="49"/>
      <c r="G84" s="50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ht="15.75" customHeight="1">
      <c r="A85" s="49"/>
      <c r="B85" s="49"/>
      <c r="C85" s="49"/>
      <c r="D85" s="49"/>
      <c r="E85" s="49"/>
      <c r="F85" s="49"/>
      <c r="G85" s="50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ht="15.75" customHeight="1">
      <c r="A86" s="49"/>
      <c r="B86" s="49"/>
      <c r="C86" s="49"/>
      <c r="D86" s="49"/>
      <c r="E86" s="49"/>
      <c r="F86" s="49"/>
      <c r="G86" s="50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ht="15.75" customHeight="1">
      <c r="A87" s="49"/>
      <c r="B87" s="49"/>
      <c r="C87" s="49"/>
      <c r="D87" s="49"/>
      <c r="E87" s="49"/>
      <c r="F87" s="49"/>
      <c r="G87" s="50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ht="15.75" customHeight="1">
      <c r="A88" s="49"/>
      <c r="B88" s="49"/>
      <c r="C88" s="49"/>
      <c r="D88" s="49"/>
      <c r="E88" s="49"/>
      <c r="F88" s="49"/>
      <c r="G88" s="50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ht="15.75" customHeight="1">
      <c r="A89" s="49"/>
      <c r="B89" s="49"/>
      <c r="C89" s="49"/>
      <c r="D89" s="49"/>
      <c r="E89" s="49"/>
      <c r="F89" s="49"/>
      <c r="G89" s="50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ht="15.75" customHeight="1">
      <c r="A90" s="49"/>
      <c r="B90" s="49"/>
      <c r="C90" s="49"/>
      <c r="D90" s="49"/>
      <c r="E90" s="49"/>
      <c r="F90" s="49"/>
      <c r="G90" s="50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ht="15.75" customHeight="1">
      <c r="A91" s="49"/>
      <c r="B91" s="49"/>
      <c r="C91" s="49"/>
      <c r="D91" s="49"/>
      <c r="E91" s="49"/>
      <c r="F91" s="49"/>
      <c r="G91" s="50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ht="15.75" customHeight="1">
      <c r="A92" s="49"/>
      <c r="B92" s="49"/>
      <c r="C92" s="49"/>
      <c r="D92" s="49"/>
      <c r="E92" s="49"/>
      <c r="F92" s="49"/>
      <c r="G92" s="50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ht="15.75" customHeight="1">
      <c r="A93" s="49"/>
      <c r="B93" s="49"/>
      <c r="C93" s="49"/>
      <c r="D93" s="49"/>
      <c r="E93" s="49"/>
      <c r="F93" s="49"/>
      <c r="G93" s="50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ht="15.75" customHeight="1">
      <c r="A94" s="49"/>
      <c r="B94" s="49"/>
      <c r="C94" s="49"/>
      <c r="D94" s="49"/>
      <c r="E94" s="49"/>
      <c r="F94" s="49"/>
      <c r="G94" s="50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ht="15.75" customHeight="1">
      <c r="A95" s="49"/>
      <c r="B95" s="49"/>
      <c r="C95" s="49"/>
      <c r="D95" s="49"/>
      <c r="E95" s="49"/>
      <c r="F95" s="49"/>
      <c r="G95" s="50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ht="15.75" customHeight="1">
      <c r="A96" s="49"/>
      <c r="B96" s="49"/>
      <c r="C96" s="49"/>
      <c r="D96" s="49"/>
      <c r="E96" s="49"/>
      <c r="F96" s="49"/>
      <c r="G96" s="50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ht="15.75" customHeight="1">
      <c r="A97" s="49"/>
      <c r="B97" s="49"/>
      <c r="C97" s="49"/>
      <c r="D97" s="49"/>
      <c r="E97" s="49"/>
      <c r="F97" s="49"/>
      <c r="G97" s="50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ht="15.75" customHeight="1">
      <c r="A98" s="49"/>
      <c r="B98" s="49"/>
      <c r="C98" s="49"/>
      <c r="D98" s="49"/>
      <c r="E98" s="49"/>
      <c r="F98" s="49"/>
      <c r="G98" s="50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ht="15.75" customHeight="1">
      <c r="A99" s="49"/>
      <c r="B99" s="49"/>
      <c r="C99" s="49"/>
      <c r="D99" s="49"/>
      <c r="E99" s="49"/>
      <c r="F99" s="49"/>
      <c r="G99" s="50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ht="15.75" customHeight="1">
      <c r="A100" s="49"/>
      <c r="B100" s="49"/>
      <c r="C100" s="49"/>
      <c r="D100" s="49"/>
      <c r="E100" s="49"/>
      <c r="F100" s="49"/>
      <c r="G100" s="50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ht="15.75" customHeight="1">
      <c r="A101" s="49"/>
      <c r="B101" s="49"/>
      <c r="C101" s="49"/>
      <c r="D101" s="49"/>
      <c r="E101" s="49"/>
      <c r="F101" s="49"/>
      <c r="G101" s="50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ht="15.75" customHeight="1">
      <c r="A102" s="49"/>
      <c r="B102" s="49"/>
      <c r="C102" s="49"/>
      <c r="D102" s="49"/>
      <c r="E102" s="49"/>
      <c r="F102" s="49"/>
      <c r="G102" s="50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ht="15.75" customHeight="1">
      <c r="A103" s="49"/>
      <c r="B103" s="49"/>
      <c r="C103" s="49"/>
      <c r="D103" s="49"/>
      <c r="E103" s="49"/>
      <c r="F103" s="49"/>
      <c r="G103" s="50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ht="15.75" customHeight="1">
      <c r="A104" s="49"/>
      <c r="B104" s="49"/>
      <c r="C104" s="49"/>
      <c r="D104" s="49"/>
      <c r="E104" s="49"/>
      <c r="F104" s="49"/>
      <c r="G104" s="50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ht="15.75" customHeight="1">
      <c r="A105" s="49"/>
      <c r="B105" s="49"/>
      <c r="C105" s="49"/>
      <c r="D105" s="49"/>
      <c r="E105" s="49"/>
      <c r="F105" s="49"/>
      <c r="G105" s="50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ht="15.75" customHeight="1">
      <c r="A106" s="49"/>
      <c r="B106" s="49"/>
      <c r="C106" s="49"/>
      <c r="D106" s="49"/>
      <c r="E106" s="49"/>
      <c r="F106" s="49"/>
      <c r="G106" s="50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ht="15.75" customHeight="1">
      <c r="A107" s="49"/>
      <c r="B107" s="49"/>
      <c r="C107" s="49"/>
      <c r="D107" s="49"/>
      <c r="E107" s="49"/>
      <c r="F107" s="49"/>
      <c r="G107" s="50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ht="15.75" customHeight="1">
      <c r="A108" s="49"/>
      <c r="B108" s="49"/>
      <c r="C108" s="49"/>
      <c r="D108" s="49"/>
      <c r="E108" s="49"/>
      <c r="F108" s="49"/>
      <c r="G108" s="50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ht="15.75" customHeight="1">
      <c r="A109" s="49"/>
      <c r="B109" s="49"/>
      <c r="C109" s="49"/>
      <c r="D109" s="49"/>
      <c r="E109" s="49"/>
      <c r="F109" s="49"/>
      <c r="G109" s="50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ht="15.75" customHeight="1">
      <c r="A110" s="49"/>
      <c r="B110" s="49"/>
      <c r="C110" s="49"/>
      <c r="D110" s="49"/>
      <c r="E110" s="49"/>
      <c r="F110" s="49"/>
      <c r="G110" s="50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ht="15.75" customHeight="1">
      <c r="A111" s="49"/>
      <c r="B111" s="49"/>
      <c r="C111" s="49"/>
      <c r="D111" s="49"/>
      <c r="E111" s="49"/>
      <c r="F111" s="49"/>
      <c r="G111" s="50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ht="15.75" customHeight="1">
      <c r="A112" s="49"/>
      <c r="B112" s="49"/>
      <c r="C112" s="49"/>
      <c r="D112" s="49"/>
      <c r="E112" s="49"/>
      <c r="F112" s="49"/>
      <c r="G112" s="50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ht="15.75" customHeight="1">
      <c r="A113" s="49"/>
      <c r="B113" s="49"/>
      <c r="C113" s="49"/>
      <c r="D113" s="49"/>
      <c r="E113" s="49"/>
      <c r="F113" s="49"/>
      <c r="G113" s="50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ht="15.75" customHeight="1">
      <c r="A114" s="49"/>
      <c r="B114" s="49"/>
      <c r="C114" s="49"/>
      <c r="D114" s="49"/>
      <c r="E114" s="49"/>
      <c r="F114" s="49"/>
      <c r="G114" s="50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ht="15.75" customHeight="1">
      <c r="A115" s="49"/>
      <c r="B115" s="49"/>
      <c r="C115" s="49"/>
      <c r="D115" s="49"/>
      <c r="E115" s="49"/>
      <c r="F115" s="49"/>
      <c r="G115" s="50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ht="15.75" customHeight="1">
      <c r="A116" s="49"/>
      <c r="B116" s="49"/>
      <c r="C116" s="49"/>
      <c r="D116" s="49"/>
      <c r="E116" s="49"/>
      <c r="F116" s="49"/>
      <c r="G116" s="50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ht="15.75" customHeight="1">
      <c r="A117" s="49"/>
      <c r="B117" s="49"/>
      <c r="C117" s="49"/>
      <c r="D117" s="49"/>
      <c r="E117" s="49"/>
      <c r="F117" s="49"/>
      <c r="G117" s="50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ht="15.75" customHeight="1">
      <c r="A118" s="49"/>
      <c r="B118" s="49"/>
      <c r="C118" s="49"/>
      <c r="D118" s="49"/>
      <c r="E118" s="49"/>
      <c r="F118" s="49"/>
      <c r="G118" s="50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ht="15.75" customHeight="1">
      <c r="A119" s="49"/>
      <c r="B119" s="49"/>
      <c r="C119" s="49"/>
      <c r="D119" s="49"/>
      <c r="E119" s="49"/>
      <c r="F119" s="49"/>
      <c r="G119" s="50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ht="15.75" customHeight="1">
      <c r="A120" s="49"/>
      <c r="B120" s="49"/>
      <c r="C120" s="49"/>
      <c r="D120" s="49"/>
      <c r="E120" s="49"/>
      <c r="F120" s="49"/>
      <c r="G120" s="50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ht="15.75" customHeight="1">
      <c r="A121" s="49"/>
      <c r="B121" s="49"/>
      <c r="C121" s="49"/>
      <c r="D121" s="49"/>
      <c r="E121" s="49"/>
      <c r="F121" s="49"/>
      <c r="G121" s="50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ht="15.75" customHeight="1">
      <c r="A122" s="49"/>
      <c r="B122" s="49"/>
      <c r="C122" s="49"/>
      <c r="D122" s="49"/>
      <c r="E122" s="49"/>
      <c r="F122" s="49"/>
      <c r="G122" s="50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ht="15.75" customHeight="1">
      <c r="A123" s="49"/>
      <c r="B123" s="49"/>
      <c r="C123" s="49"/>
      <c r="D123" s="49"/>
      <c r="E123" s="49"/>
      <c r="F123" s="49"/>
      <c r="G123" s="50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ht="15.75" customHeight="1">
      <c r="A124" s="49"/>
      <c r="B124" s="49"/>
      <c r="C124" s="49"/>
      <c r="D124" s="49"/>
      <c r="E124" s="49"/>
      <c r="F124" s="49"/>
      <c r="G124" s="50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ht="15.75" customHeight="1">
      <c r="A125" s="49"/>
      <c r="B125" s="49"/>
      <c r="C125" s="49"/>
      <c r="D125" s="49"/>
      <c r="E125" s="49"/>
      <c r="F125" s="49"/>
      <c r="G125" s="50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ht="15.75" customHeight="1">
      <c r="A126" s="49"/>
      <c r="B126" s="49"/>
      <c r="C126" s="49"/>
      <c r="D126" s="49"/>
      <c r="E126" s="49"/>
      <c r="F126" s="49"/>
      <c r="G126" s="50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ht="15.75" customHeight="1">
      <c r="A127" s="49"/>
      <c r="B127" s="49"/>
      <c r="C127" s="49"/>
      <c r="D127" s="49"/>
      <c r="E127" s="49"/>
      <c r="F127" s="49"/>
      <c r="G127" s="50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ht="15.75" customHeight="1">
      <c r="A128" s="49"/>
      <c r="B128" s="49"/>
      <c r="C128" s="49"/>
      <c r="D128" s="49"/>
      <c r="E128" s="49"/>
      <c r="F128" s="49"/>
      <c r="G128" s="50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ht="15.75" customHeight="1">
      <c r="A129" s="49"/>
      <c r="B129" s="49"/>
      <c r="C129" s="49"/>
      <c r="D129" s="49"/>
      <c r="E129" s="49"/>
      <c r="F129" s="49"/>
      <c r="G129" s="50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ht="15.75" customHeight="1">
      <c r="A130" s="49"/>
      <c r="B130" s="49"/>
      <c r="C130" s="49"/>
      <c r="D130" s="49"/>
      <c r="E130" s="49"/>
      <c r="F130" s="49"/>
      <c r="G130" s="50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ht="15.75" customHeight="1">
      <c r="A131" s="49"/>
      <c r="B131" s="49"/>
      <c r="C131" s="49"/>
      <c r="D131" s="49"/>
      <c r="E131" s="49"/>
      <c r="F131" s="49"/>
      <c r="G131" s="50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ht="15.75" customHeight="1">
      <c r="A132" s="49"/>
      <c r="B132" s="49"/>
      <c r="C132" s="49"/>
      <c r="D132" s="49"/>
      <c r="E132" s="49"/>
      <c r="F132" s="49"/>
      <c r="G132" s="50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ht="15.75" customHeight="1">
      <c r="A133" s="49"/>
      <c r="B133" s="49"/>
      <c r="C133" s="49"/>
      <c r="D133" s="49"/>
      <c r="E133" s="49"/>
      <c r="F133" s="49"/>
      <c r="G133" s="50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ht="15.75" customHeight="1">
      <c r="A134" s="49"/>
      <c r="B134" s="49"/>
      <c r="C134" s="49"/>
      <c r="D134" s="49"/>
      <c r="E134" s="49"/>
      <c r="F134" s="49"/>
      <c r="G134" s="50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ht="15.75" customHeight="1">
      <c r="A135" s="49"/>
      <c r="B135" s="49"/>
      <c r="C135" s="49"/>
      <c r="D135" s="49"/>
      <c r="E135" s="49"/>
      <c r="F135" s="49"/>
      <c r="G135" s="50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ht="15.75" customHeight="1">
      <c r="A136" s="49"/>
      <c r="B136" s="49"/>
      <c r="C136" s="49"/>
      <c r="D136" s="49"/>
      <c r="E136" s="49"/>
      <c r="F136" s="49"/>
      <c r="G136" s="50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ht="15.75" customHeight="1">
      <c r="A137" s="49"/>
      <c r="B137" s="49"/>
      <c r="C137" s="49"/>
      <c r="D137" s="49"/>
      <c r="E137" s="49"/>
      <c r="F137" s="49"/>
      <c r="G137" s="50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ht="15.75" customHeight="1">
      <c r="A138" s="49"/>
      <c r="B138" s="49"/>
      <c r="C138" s="49"/>
      <c r="D138" s="49"/>
      <c r="E138" s="49"/>
      <c r="F138" s="49"/>
      <c r="G138" s="50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ht="15.75" customHeight="1">
      <c r="A139" s="49"/>
      <c r="B139" s="49"/>
      <c r="C139" s="49"/>
      <c r="D139" s="49"/>
      <c r="E139" s="49"/>
      <c r="F139" s="49"/>
      <c r="G139" s="50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ht="15.75" customHeight="1">
      <c r="A140" s="49"/>
      <c r="B140" s="49"/>
      <c r="C140" s="49"/>
      <c r="D140" s="49"/>
      <c r="E140" s="49"/>
      <c r="F140" s="49"/>
      <c r="G140" s="50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ht="15.75" customHeight="1">
      <c r="A141" s="49"/>
      <c r="B141" s="49"/>
      <c r="C141" s="49"/>
      <c r="D141" s="49"/>
      <c r="E141" s="49"/>
      <c r="F141" s="49"/>
      <c r="G141" s="50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ht="15.75" customHeight="1">
      <c r="A142" s="49"/>
      <c r="B142" s="49"/>
      <c r="C142" s="49"/>
      <c r="D142" s="49"/>
      <c r="E142" s="49"/>
      <c r="F142" s="49"/>
      <c r="G142" s="50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ht="15.75" customHeight="1">
      <c r="A143" s="49"/>
      <c r="B143" s="49"/>
      <c r="C143" s="49"/>
      <c r="D143" s="49"/>
      <c r="E143" s="49"/>
      <c r="F143" s="49"/>
      <c r="G143" s="50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ht="15.75" customHeight="1">
      <c r="A144" s="49"/>
      <c r="B144" s="49"/>
      <c r="C144" s="49"/>
      <c r="D144" s="49"/>
      <c r="E144" s="49"/>
      <c r="F144" s="49"/>
      <c r="G144" s="50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ht="15.75" customHeight="1">
      <c r="A145" s="49"/>
      <c r="B145" s="49"/>
      <c r="C145" s="49"/>
      <c r="D145" s="49"/>
      <c r="E145" s="49"/>
      <c r="F145" s="49"/>
      <c r="G145" s="50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ht="15.75" customHeight="1">
      <c r="A146" s="49"/>
      <c r="B146" s="49"/>
      <c r="C146" s="49"/>
      <c r="D146" s="49"/>
      <c r="E146" s="49"/>
      <c r="F146" s="49"/>
      <c r="G146" s="50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ht="15.75" customHeight="1">
      <c r="A147" s="49"/>
      <c r="B147" s="49"/>
      <c r="C147" s="49"/>
      <c r="D147" s="49"/>
      <c r="E147" s="49"/>
      <c r="F147" s="49"/>
      <c r="G147" s="50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ht="15.75" customHeight="1">
      <c r="A148" s="49"/>
      <c r="B148" s="49"/>
      <c r="C148" s="49"/>
      <c r="D148" s="49"/>
      <c r="E148" s="49"/>
      <c r="F148" s="49"/>
      <c r="G148" s="50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ht="15.75" customHeight="1">
      <c r="A149" s="49"/>
      <c r="B149" s="49"/>
      <c r="C149" s="49"/>
      <c r="D149" s="49"/>
      <c r="E149" s="49"/>
      <c r="F149" s="49"/>
      <c r="G149" s="50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ht="15.75" customHeight="1">
      <c r="A150" s="49"/>
      <c r="B150" s="49"/>
      <c r="C150" s="49"/>
      <c r="D150" s="49"/>
      <c r="E150" s="49"/>
      <c r="F150" s="49"/>
      <c r="G150" s="50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ht="15.75" customHeight="1">
      <c r="A151" s="49"/>
      <c r="B151" s="49"/>
      <c r="C151" s="49"/>
      <c r="D151" s="49"/>
      <c r="E151" s="49"/>
      <c r="F151" s="49"/>
      <c r="G151" s="50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ht="15.75" customHeight="1">
      <c r="A152" s="49"/>
      <c r="B152" s="49"/>
      <c r="C152" s="49"/>
      <c r="D152" s="49"/>
      <c r="E152" s="49"/>
      <c r="F152" s="49"/>
      <c r="G152" s="50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ht="15.75" customHeight="1">
      <c r="A153" s="49"/>
      <c r="B153" s="49"/>
      <c r="C153" s="49"/>
      <c r="D153" s="49"/>
      <c r="E153" s="49"/>
      <c r="F153" s="49"/>
      <c r="G153" s="50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ht="15.75" customHeight="1">
      <c r="A154" s="49"/>
      <c r="B154" s="49"/>
      <c r="C154" s="49"/>
      <c r="D154" s="49"/>
      <c r="E154" s="49"/>
      <c r="F154" s="49"/>
      <c r="G154" s="50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ht="15.75" customHeight="1">
      <c r="A155" s="49"/>
      <c r="B155" s="49"/>
      <c r="C155" s="49"/>
      <c r="D155" s="49"/>
      <c r="E155" s="49"/>
      <c r="F155" s="49"/>
      <c r="G155" s="50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ht="15.75" customHeight="1">
      <c r="A156" s="49"/>
      <c r="B156" s="49"/>
      <c r="C156" s="49"/>
      <c r="D156" s="49"/>
      <c r="E156" s="49"/>
      <c r="F156" s="49"/>
      <c r="G156" s="50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ht="15.75" customHeight="1">
      <c r="A157" s="49"/>
      <c r="B157" s="49"/>
      <c r="C157" s="49"/>
      <c r="D157" s="49"/>
      <c r="E157" s="49"/>
      <c r="F157" s="49"/>
      <c r="G157" s="50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ht="15.75" customHeight="1">
      <c r="A158" s="49"/>
      <c r="B158" s="49"/>
      <c r="C158" s="49"/>
      <c r="D158" s="49"/>
      <c r="E158" s="49"/>
      <c r="F158" s="49"/>
      <c r="G158" s="50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ht="15.75" customHeight="1">
      <c r="A159" s="49"/>
      <c r="B159" s="49"/>
      <c r="C159" s="49"/>
      <c r="D159" s="49"/>
      <c r="E159" s="49"/>
      <c r="F159" s="49"/>
      <c r="G159" s="50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ht="15.75" customHeight="1">
      <c r="A160" s="49"/>
      <c r="B160" s="49"/>
      <c r="C160" s="49"/>
      <c r="D160" s="49"/>
      <c r="E160" s="49"/>
      <c r="F160" s="49"/>
      <c r="G160" s="50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ht="15.75" customHeight="1">
      <c r="A161" s="49"/>
      <c r="B161" s="49"/>
      <c r="C161" s="49"/>
      <c r="D161" s="49"/>
      <c r="E161" s="49"/>
      <c r="F161" s="49"/>
      <c r="G161" s="50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ht="15.75" customHeight="1">
      <c r="A162" s="49"/>
      <c r="B162" s="49"/>
      <c r="C162" s="49"/>
      <c r="D162" s="49"/>
      <c r="E162" s="49"/>
      <c r="F162" s="49"/>
      <c r="G162" s="50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ht="15.75" customHeight="1">
      <c r="A163" s="49"/>
      <c r="B163" s="49"/>
      <c r="C163" s="49"/>
      <c r="D163" s="49"/>
      <c r="E163" s="49"/>
      <c r="F163" s="49"/>
      <c r="G163" s="50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ht="15.75" customHeight="1">
      <c r="A164" s="49"/>
      <c r="B164" s="49"/>
      <c r="C164" s="49"/>
      <c r="D164" s="49"/>
      <c r="E164" s="49"/>
      <c r="F164" s="49"/>
      <c r="G164" s="50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ht="15.75" customHeight="1">
      <c r="A165" s="49"/>
      <c r="B165" s="49"/>
      <c r="C165" s="49"/>
      <c r="D165" s="49"/>
      <c r="E165" s="49"/>
      <c r="F165" s="49"/>
      <c r="G165" s="50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ht="15.75" customHeight="1">
      <c r="A166" s="49"/>
      <c r="B166" s="49"/>
      <c r="C166" s="49"/>
      <c r="D166" s="49"/>
      <c r="E166" s="49"/>
      <c r="F166" s="49"/>
      <c r="G166" s="50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ht="15.75" customHeight="1">
      <c r="A167" s="49"/>
      <c r="B167" s="49"/>
      <c r="C167" s="49"/>
      <c r="D167" s="49"/>
      <c r="E167" s="49"/>
      <c r="F167" s="49"/>
      <c r="G167" s="50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ht="15.75" customHeight="1">
      <c r="A168" s="49"/>
      <c r="B168" s="49"/>
      <c r="C168" s="49"/>
      <c r="D168" s="49"/>
      <c r="E168" s="49"/>
      <c r="F168" s="49"/>
      <c r="G168" s="50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ht="15.75" customHeight="1">
      <c r="A169" s="49"/>
      <c r="B169" s="49"/>
      <c r="C169" s="49"/>
      <c r="D169" s="49"/>
      <c r="E169" s="49"/>
      <c r="F169" s="49"/>
      <c r="G169" s="50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ht="15.75" customHeight="1">
      <c r="A170" s="49"/>
      <c r="B170" s="49"/>
      <c r="C170" s="49"/>
      <c r="D170" s="49"/>
      <c r="E170" s="49"/>
      <c r="F170" s="49"/>
      <c r="G170" s="50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ht="15.75" customHeight="1">
      <c r="A171" s="49"/>
      <c r="B171" s="49"/>
      <c r="C171" s="49"/>
      <c r="D171" s="49"/>
      <c r="E171" s="49"/>
      <c r="F171" s="49"/>
      <c r="G171" s="50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ht="15.75" customHeight="1">
      <c r="A172" s="49"/>
      <c r="B172" s="49"/>
      <c r="C172" s="49"/>
      <c r="D172" s="49"/>
      <c r="E172" s="49"/>
      <c r="F172" s="49"/>
      <c r="G172" s="50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ht="15.75" customHeight="1">
      <c r="A173" s="49"/>
      <c r="B173" s="49"/>
      <c r="C173" s="49"/>
      <c r="D173" s="49"/>
      <c r="E173" s="49"/>
      <c r="F173" s="49"/>
      <c r="G173" s="50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ht="15.75" customHeight="1">
      <c r="A174" s="49"/>
      <c r="B174" s="49"/>
      <c r="C174" s="49"/>
      <c r="D174" s="49"/>
      <c r="E174" s="49"/>
      <c r="F174" s="49"/>
      <c r="G174" s="50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ht="15.75" customHeight="1">
      <c r="A175" s="49"/>
      <c r="B175" s="49"/>
      <c r="C175" s="49"/>
      <c r="D175" s="49"/>
      <c r="E175" s="49"/>
      <c r="F175" s="49"/>
      <c r="G175" s="50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ht="15.75" customHeight="1">
      <c r="A176" s="49"/>
      <c r="B176" s="49"/>
      <c r="C176" s="49"/>
      <c r="D176" s="49"/>
      <c r="E176" s="49"/>
      <c r="F176" s="49"/>
      <c r="G176" s="50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ht="15.75" customHeight="1">
      <c r="A177" s="49"/>
      <c r="B177" s="49"/>
      <c r="C177" s="49"/>
      <c r="D177" s="49"/>
      <c r="E177" s="49"/>
      <c r="F177" s="49"/>
      <c r="G177" s="50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ht="15.75" customHeight="1">
      <c r="A178" s="49"/>
      <c r="B178" s="49"/>
      <c r="C178" s="49"/>
      <c r="D178" s="49"/>
      <c r="E178" s="49"/>
      <c r="F178" s="49"/>
      <c r="G178" s="50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ht="15.75" customHeight="1">
      <c r="A179" s="49"/>
      <c r="B179" s="49"/>
      <c r="C179" s="49"/>
      <c r="D179" s="49"/>
      <c r="E179" s="49"/>
      <c r="F179" s="49"/>
      <c r="G179" s="50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ht="15.75" customHeight="1">
      <c r="A180" s="49"/>
      <c r="B180" s="49"/>
      <c r="C180" s="49"/>
      <c r="D180" s="49"/>
      <c r="E180" s="49"/>
      <c r="F180" s="49"/>
      <c r="G180" s="50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ht="15.75" customHeight="1">
      <c r="A181" s="49"/>
      <c r="B181" s="49"/>
      <c r="C181" s="49"/>
      <c r="D181" s="49"/>
      <c r="E181" s="49"/>
      <c r="F181" s="49"/>
      <c r="G181" s="50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ht="15.75" customHeight="1">
      <c r="A182" s="49"/>
      <c r="B182" s="49"/>
      <c r="C182" s="49"/>
      <c r="D182" s="49"/>
      <c r="E182" s="49"/>
      <c r="F182" s="49"/>
      <c r="G182" s="50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ht="15.75" customHeight="1">
      <c r="A183" s="49"/>
      <c r="B183" s="49"/>
      <c r="C183" s="49"/>
      <c r="D183" s="49"/>
      <c r="E183" s="49"/>
      <c r="F183" s="49"/>
      <c r="G183" s="50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ht="15.75" customHeight="1">
      <c r="A184" s="49"/>
      <c r="B184" s="49"/>
      <c r="C184" s="49"/>
      <c r="D184" s="49"/>
      <c r="E184" s="49"/>
      <c r="F184" s="49"/>
      <c r="G184" s="50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ht="15.75" customHeight="1">
      <c r="A185" s="49"/>
      <c r="B185" s="49"/>
      <c r="C185" s="49"/>
      <c r="D185" s="49"/>
      <c r="E185" s="49"/>
      <c r="F185" s="49"/>
      <c r="G185" s="50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ht="15.75" customHeight="1">
      <c r="A186" s="49"/>
      <c r="B186" s="49"/>
      <c r="C186" s="49"/>
      <c r="D186" s="49"/>
      <c r="E186" s="49"/>
      <c r="F186" s="49"/>
      <c r="G186" s="50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ht="15.75" customHeight="1">
      <c r="A187" s="49"/>
      <c r="B187" s="49"/>
      <c r="C187" s="49"/>
      <c r="D187" s="49"/>
      <c r="E187" s="49"/>
      <c r="F187" s="49"/>
      <c r="G187" s="50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ht="15.75" customHeight="1">
      <c r="A188" s="49"/>
      <c r="B188" s="49"/>
      <c r="C188" s="49"/>
      <c r="D188" s="49"/>
      <c r="E188" s="49"/>
      <c r="F188" s="49"/>
      <c r="G188" s="50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ht="15.75" customHeight="1">
      <c r="A189" s="49"/>
      <c r="B189" s="49"/>
      <c r="C189" s="49"/>
      <c r="D189" s="49"/>
      <c r="E189" s="49"/>
      <c r="F189" s="49"/>
      <c r="G189" s="50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ht="15.75" customHeight="1">
      <c r="A190" s="49"/>
      <c r="B190" s="49"/>
      <c r="C190" s="49"/>
      <c r="D190" s="49"/>
      <c r="E190" s="49"/>
      <c r="F190" s="49"/>
      <c r="G190" s="50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ht="15.75" customHeight="1">
      <c r="A191" s="49"/>
      <c r="B191" s="49"/>
      <c r="C191" s="49"/>
      <c r="D191" s="49"/>
      <c r="E191" s="49"/>
      <c r="F191" s="49"/>
      <c r="G191" s="50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ht="15.75" customHeight="1">
      <c r="A192" s="49"/>
      <c r="B192" s="49"/>
      <c r="C192" s="49"/>
      <c r="D192" s="49"/>
      <c r="E192" s="49"/>
      <c r="F192" s="49"/>
      <c r="G192" s="50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ht="15.75" customHeight="1">
      <c r="A193" s="49"/>
      <c r="B193" s="49"/>
      <c r="C193" s="49"/>
      <c r="D193" s="49"/>
      <c r="E193" s="49"/>
      <c r="F193" s="49"/>
      <c r="G193" s="50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ht="15.75" customHeight="1">
      <c r="A194" s="49"/>
      <c r="B194" s="49"/>
      <c r="C194" s="49"/>
      <c r="D194" s="49"/>
      <c r="E194" s="49"/>
      <c r="F194" s="49"/>
      <c r="G194" s="50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ht="15.75" customHeight="1">
      <c r="A195" s="49"/>
      <c r="B195" s="49"/>
      <c r="C195" s="49"/>
      <c r="D195" s="49"/>
      <c r="E195" s="49"/>
      <c r="F195" s="49"/>
      <c r="G195" s="50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ht="15.75" customHeight="1">
      <c r="A196" s="49"/>
      <c r="B196" s="49"/>
      <c r="C196" s="49"/>
      <c r="D196" s="49"/>
      <c r="E196" s="49"/>
      <c r="F196" s="49"/>
      <c r="G196" s="50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ht="15.75" customHeight="1">
      <c r="A197" s="49"/>
      <c r="B197" s="49"/>
      <c r="C197" s="49"/>
      <c r="D197" s="49"/>
      <c r="E197" s="49"/>
      <c r="F197" s="49"/>
      <c r="G197" s="50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ht="15.75" customHeight="1">
      <c r="A198" s="49"/>
      <c r="B198" s="49"/>
      <c r="C198" s="49"/>
      <c r="D198" s="49"/>
      <c r="E198" s="49"/>
      <c r="F198" s="49"/>
      <c r="G198" s="50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ht="15.75" customHeight="1">
      <c r="A199" s="49"/>
      <c r="B199" s="49"/>
      <c r="C199" s="49"/>
      <c r="D199" s="49"/>
      <c r="E199" s="49"/>
      <c r="F199" s="49"/>
      <c r="G199" s="50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ht="15.75" customHeight="1">
      <c r="A200" s="49"/>
      <c r="B200" s="49"/>
      <c r="C200" s="49"/>
      <c r="D200" s="49"/>
      <c r="E200" s="49"/>
      <c r="F200" s="49"/>
      <c r="G200" s="50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ht="15.75" customHeight="1">
      <c r="A201" s="49"/>
      <c r="B201" s="49"/>
      <c r="C201" s="49"/>
      <c r="D201" s="49"/>
      <c r="E201" s="49"/>
      <c r="F201" s="49"/>
      <c r="G201" s="50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ht="15.75" customHeight="1">
      <c r="A202" s="49"/>
      <c r="B202" s="49"/>
      <c r="C202" s="49"/>
      <c r="D202" s="49"/>
      <c r="E202" s="49"/>
      <c r="F202" s="49"/>
      <c r="G202" s="50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ht="15.75" customHeight="1">
      <c r="A203" s="49"/>
      <c r="B203" s="49"/>
      <c r="C203" s="49"/>
      <c r="D203" s="49"/>
      <c r="E203" s="49"/>
      <c r="F203" s="49"/>
      <c r="G203" s="50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ht="15.75" customHeight="1">
      <c r="A204" s="49"/>
      <c r="B204" s="49"/>
      <c r="C204" s="49"/>
      <c r="D204" s="49"/>
      <c r="E204" s="49"/>
      <c r="F204" s="49"/>
      <c r="G204" s="50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ht="15.75" customHeight="1">
      <c r="A205" s="49"/>
      <c r="B205" s="49"/>
      <c r="C205" s="49"/>
      <c r="D205" s="49"/>
      <c r="E205" s="49"/>
      <c r="F205" s="49"/>
      <c r="G205" s="50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ht="15.75" customHeight="1">
      <c r="A206" s="49"/>
      <c r="B206" s="49"/>
      <c r="C206" s="49"/>
      <c r="D206" s="49"/>
      <c r="E206" s="49"/>
      <c r="F206" s="49"/>
      <c r="G206" s="50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ht="15.75" customHeight="1">
      <c r="A207" s="49"/>
      <c r="B207" s="49"/>
      <c r="C207" s="49"/>
      <c r="D207" s="49"/>
      <c r="E207" s="49"/>
      <c r="F207" s="49"/>
      <c r="G207" s="50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ht="15.75" customHeight="1">
      <c r="A208" s="49"/>
      <c r="B208" s="49"/>
      <c r="C208" s="49"/>
      <c r="D208" s="49"/>
      <c r="E208" s="49"/>
      <c r="F208" s="49"/>
      <c r="G208" s="50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ht="15.75" customHeight="1">
      <c r="A209" s="49"/>
      <c r="B209" s="49"/>
      <c r="C209" s="49"/>
      <c r="D209" s="49"/>
      <c r="E209" s="49"/>
      <c r="F209" s="49"/>
      <c r="G209" s="50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ht="15.75" customHeight="1">
      <c r="A210" s="49"/>
      <c r="B210" s="49"/>
      <c r="C210" s="49"/>
      <c r="D210" s="49"/>
      <c r="E210" s="49"/>
      <c r="F210" s="49"/>
      <c r="G210" s="50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ht="15.75" customHeight="1">
      <c r="A211" s="49"/>
      <c r="B211" s="49"/>
      <c r="C211" s="49"/>
      <c r="D211" s="49"/>
      <c r="E211" s="49"/>
      <c r="F211" s="49"/>
      <c r="G211" s="50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ht="15.75" customHeight="1">
      <c r="A212" s="49"/>
      <c r="B212" s="49"/>
      <c r="C212" s="49"/>
      <c r="D212" s="49"/>
      <c r="E212" s="49"/>
      <c r="F212" s="49"/>
      <c r="G212" s="50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ht="15.75" customHeight="1">
      <c r="A213" s="49"/>
      <c r="B213" s="49"/>
      <c r="C213" s="49"/>
      <c r="D213" s="49"/>
      <c r="E213" s="49"/>
      <c r="F213" s="49"/>
      <c r="G213" s="50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ht="15.75" customHeight="1">
      <c r="A214" s="49"/>
      <c r="B214" s="49"/>
      <c r="C214" s="49"/>
      <c r="D214" s="49"/>
      <c r="E214" s="49"/>
      <c r="F214" s="49"/>
      <c r="G214" s="50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ht="15.75" customHeight="1">
      <c r="A215" s="49"/>
      <c r="B215" s="49"/>
      <c r="C215" s="49"/>
      <c r="D215" s="49"/>
      <c r="E215" s="49"/>
      <c r="F215" s="49"/>
      <c r="G215" s="50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ht="15.75" customHeight="1">
      <c r="A216" s="49"/>
      <c r="B216" s="49"/>
      <c r="C216" s="49"/>
      <c r="D216" s="49"/>
      <c r="E216" s="49"/>
      <c r="F216" s="49"/>
      <c r="G216" s="50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ht="15.75" customHeight="1">
      <c r="A217" s="49"/>
      <c r="B217" s="49"/>
      <c r="C217" s="49"/>
      <c r="D217" s="49"/>
      <c r="E217" s="49"/>
      <c r="F217" s="49"/>
      <c r="G217" s="50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ht="15.75" customHeight="1">
      <c r="A218" s="49"/>
      <c r="B218" s="49"/>
      <c r="C218" s="49"/>
      <c r="D218" s="49"/>
      <c r="E218" s="49"/>
      <c r="F218" s="49"/>
      <c r="G218" s="50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ht="15.75" customHeight="1">
      <c r="A219" s="49"/>
      <c r="B219" s="49"/>
      <c r="C219" s="49"/>
      <c r="D219" s="49"/>
      <c r="E219" s="49"/>
      <c r="F219" s="49"/>
      <c r="G219" s="50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ht="15.75" customHeight="1">
      <c r="A220" s="49"/>
      <c r="B220" s="49"/>
      <c r="C220" s="49"/>
      <c r="D220" s="49"/>
      <c r="E220" s="49"/>
      <c r="F220" s="49"/>
      <c r="G220" s="50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ht="15.75" customHeight="1">
      <c r="A221" s="49"/>
      <c r="B221" s="49"/>
      <c r="C221" s="49"/>
      <c r="D221" s="49"/>
      <c r="E221" s="49"/>
      <c r="F221" s="49"/>
      <c r="G221" s="50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ht="15.75" customHeight="1">
      <c r="A222" s="49"/>
      <c r="B222" s="49"/>
      <c r="C222" s="49"/>
      <c r="D222" s="49"/>
      <c r="E222" s="49"/>
      <c r="F222" s="49"/>
      <c r="G222" s="50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ht="15.75" customHeight="1">
      <c r="A223" s="49"/>
      <c r="B223" s="49"/>
      <c r="C223" s="49"/>
      <c r="D223" s="49"/>
      <c r="E223" s="49"/>
      <c r="F223" s="49"/>
      <c r="G223" s="50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ht="15.75" customHeight="1">
      <c r="A224" s="49"/>
      <c r="B224" s="49"/>
      <c r="C224" s="49"/>
      <c r="D224" s="49"/>
      <c r="E224" s="49"/>
      <c r="F224" s="49"/>
      <c r="G224" s="50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ht="15.75" customHeight="1">
      <c r="A225" s="49"/>
      <c r="B225" s="49"/>
      <c r="C225" s="49"/>
      <c r="D225" s="49"/>
      <c r="E225" s="49"/>
      <c r="F225" s="49"/>
      <c r="G225" s="50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ht="15.75" customHeight="1">
      <c r="A226" s="49"/>
      <c r="B226" s="49"/>
      <c r="C226" s="49"/>
      <c r="D226" s="49"/>
      <c r="E226" s="49"/>
      <c r="F226" s="49"/>
      <c r="G226" s="50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ht="15.75" customHeight="1">
      <c r="A227" s="49"/>
      <c r="B227" s="49"/>
      <c r="C227" s="49"/>
      <c r="D227" s="49"/>
      <c r="E227" s="49"/>
      <c r="F227" s="49"/>
      <c r="G227" s="50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ht="15.75" customHeight="1">
      <c r="A228" s="49"/>
      <c r="B228" s="49"/>
      <c r="C228" s="49"/>
      <c r="D228" s="49"/>
      <c r="E228" s="49"/>
      <c r="F228" s="49"/>
      <c r="G228" s="50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ht="15.75" customHeight="1">
      <c r="A229" s="49"/>
      <c r="B229" s="49"/>
      <c r="C229" s="49"/>
      <c r="D229" s="49"/>
      <c r="E229" s="49"/>
      <c r="F229" s="49"/>
      <c r="G229" s="50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ht="15.75" customHeight="1">
      <c r="A230" s="49"/>
      <c r="B230" s="49"/>
      <c r="C230" s="49"/>
      <c r="D230" s="49"/>
      <c r="E230" s="49"/>
      <c r="F230" s="49"/>
      <c r="G230" s="50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ht="15.75" customHeight="1">
      <c r="A231" s="49"/>
      <c r="B231" s="49"/>
      <c r="C231" s="49"/>
      <c r="D231" s="49"/>
      <c r="E231" s="49"/>
      <c r="F231" s="49"/>
      <c r="G231" s="50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ht="15.75" customHeight="1">
      <c r="A232" s="49"/>
      <c r="B232" s="49"/>
      <c r="C232" s="49"/>
      <c r="D232" s="49"/>
      <c r="E232" s="49"/>
      <c r="F232" s="49"/>
      <c r="G232" s="50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ht="15.75" customHeight="1">
      <c r="A233" s="49"/>
      <c r="B233" s="49"/>
      <c r="C233" s="49"/>
      <c r="D233" s="49"/>
      <c r="E233" s="49"/>
      <c r="F233" s="49"/>
      <c r="G233" s="50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ht="15.75" customHeight="1">
      <c r="A234" s="49"/>
      <c r="B234" s="49"/>
      <c r="C234" s="49"/>
      <c r="D234" s="49"/>
      <c r="E234" s="49"/>
      <c r="F234" s="49"/>
      <c r="G234" s="50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ht="15.75" customHeight="1">
      <c r="A235" s="49"/>
      <c r="B235" s="49"/>
      <c r="C235" s="49"/>
      <c r="D235" s="49"/>
      <c r="E235" s="49"/>
      <c r="F235" s="49"/>
      <c r="G235" s="50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ht="15.75" customHeight="1">
      <c r="A236" s="49"/>
      <c r="B236" s="49"/>
      <c r="C236" s="49"/>
      <c r="D236" s="49"/>
      <c r="E236" s="49"/>
      <c r="F236" s="49"/>
      <c r="G236" s="50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ht="15.75" customHeight="1">
      <c r="A237" s="49"/>
      <c r="B237" s="49"/>
      <c r="C237" s="49"/>
      <c r="D237" s="49"/>
      <c r="E237" s="49"/>
      <c r="F237" s="49"/>
      <c r="G237" s="50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13">
    <mergeCell ref="B33:C33"/>
    <mergeCell ref="D34:E34"/>
    <mergeCell ref="B36:G37"/>
    <mergeCell ref="H36:H37"/>
    <mergeCell ref="C70:D70"/>
    <mergeCell ref="C71:D71"/>
    <mergeCell ref="A1:H1"/>
    <mergeCell ref="D26:E26"/>
    <mergeCell ref="D27:E27"/>
    <mergeCell ref="B29:C29"/>
    <mergeCell ref="B30:C30"/>
    <mergeCell ref="B31:C31"/>
    <mergeCell ref="B32:C32"/>
  </mergeCells>
  <printOptions horizontalCentered="1" verticalCentered="1"/>
  <pageMargins bottom="0.590277777777778" footer="0.0" header="0.0" left="0.590277777777778" right="0.590277777777778" top="0.590277777777778"/>
  <pageSetup paperSize="9" scale="43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4.71"/>
    <col customWidth="1" min="2" max="2" width="14.71"/>
    <col customWidth="1" min="3" max="6" width="13.29"/>
    <col customWidth="1" min="7" max="7" width="118.71"/>
    <col customWidth="1" min="8" max="27" width="9.14"/>
  </cols>
  <sheetData>
    <row r="1" ht="20.25" customHeight="1">
      <c r="A1" s="1" t="s">
        <v>0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20.25" customHeight="1">
      <c r="A2" s="26"/>
      <c r="B2" s="26"/>
      <c r="C2" s="26"/>
      <c r="D2" s="26"/>
      <c r="E2" s="26"/>
      <c r="F2" s="26"/>
      <c r="G2" s="27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20.25" customHeight="1">
      <c r="A3" s="56" t="s">
        <v>18</v>
      </c>
      <c r="B3" s="56" t="s">
        <v>19</v>
      </c>
      <c r="C3" s="56" t="s">
        <v>20</v>
      </c>
      <c r="D3" s="56" t="s">
        <v>21</v>
      </c>
      <c r="E3" s="56" t="s">
        <v>22</v>
      </c>
      <c r="F3" s="56" t="s">
        <v>23</v>
      </c>
      <c r="G3" s="56" t="s">
        <v>24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20.25" customHeight="1">
      <c r="A4" s="68" t="s">
        <v>28</v>
      </c>
      <c r="B4" s="69"/>
      <c r="C4" s="70"/>
      <c r="D4" s="69"/>
      <c r="E4" s="70"/>
      <c r="F4" s="69"/>
      <c r="G4" s="69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</row>
    <row r="5" ht="13.5" customHeight="1">
      <c r="A5" s="72" t="s">
        <v>29</v>
      </c>
      <c r="B5" s="72">
        <v>2668408.0</v>
      </c>
      <c r="C5" s="73">
        <v>0.145</v>
      </c>
      <c r="D5" s="74">
        <v>1.0</v>
      </c>
      <c r="E5" s="75">
        <f t="shared" ref="E5:E6" si="1">C5*D5</f>
        <v>0.145</v>
      </c>
      <c r="F5" s="72" t="s">
        <v>27</v>
      </c>
      <c r="G5" s="76" t="s">
        <v>77</v>
      </c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</row>
    <row r="6" ht="13.5" customHeight="1">
      <c r="A6" s="77" t="s">
        <v>78</v>
      </c>
      <c r="B6" s="78">
        <v>2445621.0</v>
      </c>
      <c r="C6" s="79">
        <v>0.214</v>
      </c>
      <c r="D6" s="80">
        <v>0.0</v>
      </c>
      <c r="E6" s="81">
        <f t="shared" si="1"/>
        <v>0</v>
      </c>
      <c r="F6" s="77" t="s">
        <v>27</v>
      </c>
      <c r="G6" s="82" t="s">
        <v>79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ht="13.5" customHeight="1">
      <c r="A7" s="83" t="s">
        <v>80</v>
      </c>
      <c r="B7" s="84"/>
      <c r="C7" s="75"/>
      <c r="D7" s="84"/>
      <c r="E7" s="75"/>
      <c r="F7" s="84"/>
      <c r="G7" s="85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 ht="13.5" customHeight="1">
      <c r="A8" s="84" t="s">
        <v>81</v>
      </c>
      <c r="B8" s="84">
        <v>1344146.0</v>
      </c>
      <c r="C8" s="75">
        <v>5.58</v>
      </c>
      <c r="D8" s="74">
        <v>0.0</v>
      </c>
      <c r="E8" s="75">
        <f t="shared" ref="E8:E10" si="2">C8*D8</f>
        <v>0</v>
      </c>
      <c r="F8" s="84" t="s">
        <v>82</v>
      </c>
      <c r="G8" s="86" t="s">
        <v>83</v>
      </c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</row>
    <row r="9" ht="13.5" customHeight="1">
      <c r="A9" s="87" t="s">
        <v>84</v>
      </c>
      <c r="B9" s="87">
        <v>1344145.0</v>
      </c>
      <c r="C9" s="88">
        <v>6.24</v>
      </c>
      <c r="D9" s="87">
        <v>0.0</v>
      </c>
      <c r="E9" s="88">
        <f t="shared" si="2"/>
        <v>0</v>
      </c>
      <c r="F9" s="87" t="s">
        <v>82</v>
      </c>
      <c r="G9" s="89" t="s">
        <v>85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13.5" customHeight="1">
      <c r="A10" s="80" t="s">
        <v>86</v>
      </c>
      <c r="B10" s="80">
        <v>1344143.0</v>
      </c>
      <c r="C10" s="81">
        <v>7.08</v>
      </c>
      <c r="D10" s="80">
        <v>0.0</v>
      </c>
      <c r="E10" s="81">
        <f t="shared" si="2"/>
        <v>0</v>
      </c>
      <c r="F10" s="80" t="s">
        <v>82</v>
      </c>
      <c r="G10" s="48" t="s">
        <v>87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ht="13.5" customHeight="1">
      <c r="A11" s="83" t="s">
        <v>30</v>
      </c>
      <c r="B11" s="84"/>
      <c r="C11" s="75"/>
      <c r="D11" s="84"/>
      <c r="E11" s="75"/>
      <c r="F11" s="84"/>
      <c r="G11" s="85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ht="13.5" customHeight="1">
      <c r="A12" s="84" t="s">
        <v>31</v>
      </c>
      <c r="B12" s="84">
        <v>1292245.0</v>
      </c>
      <c r="C12" s="75">
        <v>0.34</v>
      </c>
      <c r="D12" s="74">
        <v>1.0</v>
      </c>
      <c r="E12" s="75">
        <f>C12*D12</f>
        <v>0.34</v>
      </c>
      <c r="F12" s="84" t="s">
        <v>27</v>
      </c>
      <c r="G12" s="86" t="s">
        <v>88</v>
      </c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</row>
    <row r="13" ht="13.5" customHeight="1">
      <c r="A13" s="90" t="s">
        <v>32</v>
      </c>
      <c r="B13" s="80"/>
      <c r="C13" s="81"/>
      <c r="D13" s="80"/>
      <c r="E13" s="81"/>
      <c r="F13" s="80"/>
      <c r="G13" s="91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ht="13.5" customHeight="1">
      <c r="A14" s="84" t="s">
        <v>89</v>
      </c>
      <c r="B14" s="92">
        <v>3124181.0</v>
      </c>
      <c r="C14" s="75">
        <v>1.18</v>
      </c>
      <c r="D14" s="74">
        <v>1.0</v>
      </c>
      <c r="E14" s="75">
        <f>C14*D14</f>
        <v>1.18</v>
      </c>
      <c r="F14" s="84" t="s">
        <v>27</v>
      </c>
      <c r="G14" s="93" t="s">
        <v>90</v>
      </c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</row>
    <row r="15" ht="13.5" customHeight="1">
      <c r="A15" s="90" t="s">
        <v>91</v>
      </c>
      <c r="B15" s="80"/>
      <c r="C15" s="81"/>
      <c r="D15" s="80"/>
      <c r="E15" s="81"/>
      <c r="F15" s="80"/>
      <c r="G15" s="91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ht="24.75" customHeight="1">
      <c r="A16" s="80" t="s">
        <v>92</v>
      </c>
      <c r="B16" s="80">
        <v>3118458.0</v>
      </c>
      <c r="C16" s="81">
        <v>0.928</v>
      </c>
      <c r="D16" s="94">
        <v>0.0</v>
      </c>
      <c r="E16" s="81">
        <f>C16*D16</f>
        <v>0</v>
      </c>
      <c r="F16" s="80" t="s">
        <v>27</v>
      </c>
      <c r="G16" s="48" t="s">
        <v>93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13.5" customHeight="1">
      <c r="A17" s="83" t="s">
        <v>56</v>
      </c>
      <c r="B17" s="84"/>
      <c r="C17" s="75"/>
      <c r="D17" s="84"/>
      <c r="E17" s="75"/>
      <c r="F17" s="84"/>
      <c r="G17" s="85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</row>
    <row r="18" ht="13.5" customHeight="1">
      <c r="A18" s="84" t="s">
        <v>57</v>
      </c>
      <c r="B18" s="84" t="s">
        <v>94</v>
      </c>
      <c r="C18" s="75">
        <v>0.5</v>
      </c>
      <c r="D18" s="74">
        <v>0.02</v>
      </c>
      <c r="E18" s="75">
        <f>C18*D18</f>
        <v>0.01</v>
      </c>
      <c r="F18" s="84" t="s">
        <v>58</v>
      </c>
      <c r="G18" s="85" t="s">
        <v>95</v>
      </c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</row>
    <row r="19" ht="13.5" customHeight="1">
      <c r="A19" s="83" t="s">
        <v>34</v>
      </c>
      <c r="B19" s="84"/>
      <c r="C19" s="75"/>
      <c r="D19" s="84"/>
      <c r="E19" s="75"/>
      <c r="F19" s="84"/>
      <c r="G19" s="85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</row>
    <row r="20" ht="13.5" customHeight="1">
      <c r="A20" s="95" t="s">
        <v>35</v>
      </c>
      <c r="B20" s="84">
        <v>1045472.0</v>
      </c>
      <c r="C20" s="75">
        <v>0.306</v>
      </c>
      <c r="D20" s="74">
        <v>1.0</v>
      </c>
      <c r="E20" s="75">
        <f t="shared" ref="E20:E22" si="3">C20*D20</f>
        <v>0.306</v>
      </c>
      <c r="F20" s="84" t="s">
        <v>27</v>
      </c>
      <c r="G20" s="86" t="s">
        <v>96</v>
      </c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</row>
    <row r="21" ht="13.5" customHeight="1">
      <c r="A21" s="95" t="s">
        <v>36</v>
      </c>
      <c r="B21" s="84">
        <v>1735247.0</v>
      </c>
      <c r="C21" s="75">
        <v>0.497</v>
      </c>
      <c r="D21" s="74">
        <v>1.0</v>
      </c>
      <c r="E21" s="75">
        <f t="shared" si="3"/>
        <v>0.497</v>
      </c>
      <c r="F21" s="84" t="s">
        <v>27</v>
      </c>
      <c r="G21" s="86" t="s">
        <v>97</v>
      </c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</row>
    <row r="22" ht="13.5" customHeight="1">
      <c r="A22" s="95" t="s">
        <v>37</v>
      </c>
      <c r="B22" s="84">
        <v>3130195.0</v>
      </c>
      <c r="C22" s="75">
        <v>0.13</v>
      </c>
      <c r="D22" s="74">
        <v>1.0</v>
      </c>
      <c r="E22" s="75">
        <f t="shared" si="3"/>
        <v>0.13</v>
      </c>
      <c r="F22" s="84" t="s">
        <v>27</v>
      </c>
      <c r="G22" s="86" t="s">
        <v>98</v>
      </c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</row>
    <row r="23" ht="13.5" customHeight="1">
      <c r="A23" s="90" t="s">
        <v>99</v>
      </c>
      <c r="B23" s="80"/>
      <c r="C23" s="81"/>
      <c r="D23" s="80"/>
      <c r="E23" s="81"/>
      <c r="F23" s="80"/>
      <c r="G23" s="91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ht="13.5" customHeight="1">
      <c r="A24" s="80" t="s">
        <v>100</v>
      </c>
      <c r="B24" s="80">
        <v>2675146.0</v>
      </c>
      <c r="C24" s="81">
        <v>0.0256</v>
      </c>
      <c r="D24" s="80">
        <v>0.0</v>
      </c>
      <c r="E24" s="81">
        <f t="shared" ref="E24:E25" si="4">C24*D24</f>
        <v>0</v>
      </c>
      <c r="F24" s="80" t="s">
        <v>27</v>
      </c>
      <c r="G24" s="48" t="s">
        <v>101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ht="13.5" customHeight="1">
      <c r="A25" s="80" t="s">
        <v>102</v>
      </c>
      <c r="B25" s="80">
        <v>2675047.0</v>
      </c>
      <c r="C25" s="81">
        <v>0.0573</v>
      </c>
      <c r="D25" s="80">
        <v>0.0</v>
      </c>
      <c r="E25" s="81">
        <f t="shared" si="4"/>
        <v>0</v>
      </c>
      <c r="F25" s="80" t="s">
        <v>27</v>
      </c>
      <c r="G25" s="48" t="s">
        <v>103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13.5" customHeight="1">
      <c r="A26" s="83" t="s">
        <v>38</v>
      </c>
      <c r="B26" s="84"/>
      <c r="C26" s="75"/>
      <c r="D26" s="84"/>
      <c r="E26" s="75"/>
      <c r="F26" s="84"/>
      <c r="G26" s="85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</row>
    <row r="27" ht="13.5" customHeight="1">
      <c r="A27" s="80" t="s">
        <v>104</v>
      </c>
      <c r="B27" s="80">
        <v>2320018.0</v>
      </c>
      <c r="C27" s="81">
        <v>0.382</v>
      </c>
      <c r="D27" s="80">
        <v>0.0</v>
      </c>
      <c r="E27" s="81">
        <f t="shared" ref="E27:E29" si="5">C27*D27</f>
        <v>0</v>
      </c>
      <c r="F27" s="80" t="s">
        <v>27</v>
      </c>
      <c r="G27" s="48" t="s">
        <v>105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ht="13.5" customHeight="1">
      <c r="A28" s="72" t="s">
        <v>39</v>
      </c>
      <c r="B28" s="72">
        <v>2435145.0</v>
      </c>
      <c r="C28" s="73">
        <v>0.49</v>
      </c>
      <c r="D28" s="97">
        <v>1.0</v>
      </c>
      <c r="E28" s="75">
        <f t="shared" si="5"/>
        <v>0.49</v>
      </c>
      <c r="F28" s="72" t="s">
        <v>27</v>
      </c>
      <c r="G28" s="86" t="s">
        <v>106</v>
      </c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</row>
    <row r="29" ht="13.5" customHeight="1">
      <c r="A29" s="80" t="s">
        <v>107</v>
      </c>
      <c r="B29" s="80">
        <v>9471723.0</v>
      </c>
      <c r="C29" s="81">
        <v>0.185</v>
      </c>
      <c r="D29" s="80">
        <v>0.0</v>
      </c>
      <c r="E29" s="81">
        <f t="shared" si="5"/>
        <v>0</v>
      </c>
      <c r="F29" s="80" t="s">
        <v>27</v>
      </c>
      <c r="G29" s="48" t="s">
        <v>108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ht="13.5" customHeight="1">
      <c r="A30" s="83" t="s">
        <v>25</v>
      </c>
      <c r="B30" s="84"/>
      <c r="C30" s="75"/>
      <c r="D30" s="84"/>
      <c r="E30" s="75"/>
      <c r="F30" s="84"/>
      <c r="G30" s="85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</row>
    <row r="31" ht="13.5" customHeight="1">
      <c r="A31" s="84" t="s">
        <v>26</v>
      </c>
      <c r="B31" s="84">
        <v>3120419.0</v>
      </c>
      <c r="C31" s="75">
        <v>0.27</v>
      </c>
      <c r="D31" s="74">
        <v>1.0</v>
      </c>
      <c r="E31" s="75">
        <f t="shared" ref="E31:E32" si="6">C31*D31</f>
        <v>0.27</v>
      </c>
      <c r="F31" s="84" t="s">
        <v>27</v>
      </c>
      <c r="G31" s="86" t="s">
        <v>109</v>
      </c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ht="13.5" customHeight="1">
      <c r="A32" s="80" t="s">
        <v>110</v>
      </c>
      <c r="B32" s="80">
        <v>3120423.0</v>
      </c>
      <c r="C32" s="81">
        <v>0.27</v>
      </c>
      <c r="D32" s="80">
        <v>0.0</v>
      </c>
      <c r="E32" s="81">
        <f t="shared" si="6"/>
        <v>0</v>
      </c>
      <c r="F32" s="80" t="s">
        <v>27</v>
      </c>
      <c r="G32" s="48" t="s">
        <v>111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ht="13.5" customHeight="1">
      <c r="A33" s="83" t="s">
        <v>40</v>
      </c>
      <c r="B33" s="84"/>
      <c r="C33" s="75"/>
      <c r="D33" s="84"/>
      <c r="E33" s="75"/>
      <c r="F33" s="84"/>
      <c r="G33" s="85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ht="13.5" customHeight="1">
      <c r="A34" s="84" t="s">
        <v>41</v>
      </c>
      <c r="B34" s="84">
        <v>3122722.0</v>
      </c>
      <c r="C34" s="75">
        <v>0.391</v>
      </c>
      <c r="D34" s="74">
        <v>1.0</v>
      </c>
      <c r="E34" s="75">
        <f>C34*D34</f>
        <v>0.391</v>
      </c>
      <c r="F34" s="84" t="s">
        <v>27</v>
      </c>
      <c r="G34" s="86" t="s">
        <v>112</v>
      </c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ht="13.5" customHeight="1">
      <c r="A35" s="90" t="s">
        <v>113</v>
      </c>
      <c r="B35" s="80"/>
      <c r="C35" s="81"/>
      <c r="D35" s="80"/>
      <c r="E35" s="81"/>
      <c r="F35" s="80"/>
      <c r="G35" s="91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ht="33.0" customHeight="1">
      <c r="A36" s="80" t="s">
        <v>114</v>
      </c>
      <c r="B36" s="80">
        <v>9845178.0</v>
      </c>
      <c r="C36" s="81">
        <v>0.227</v>
      </c>
      <c r="D36" s="80">
        <v>0.0</v>
      </c>
      <c r="E36" s="81">
        <f>C36*D36</f>
        <v>0</v>
      </c>
      <c r="F36" s="80" t="s">
        <v>27</v>
      </c>
      <c r="G36" s="48" t="s">
        <v>115</v>
      </c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13.5" customHeight="1">
      <c r="A37" s="83" t="s">
        <v>42</v>
      </c>
      <c r="B37" s="84"/>
      <c r="C37" s="75"/>
      <c r="D37" s="84"/>
      <c r="E37" s="75"/>
      <c r="F37" s="84"/>
      <c r="G37" s="85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</row>
    <row r="38" ht="13.5" customHeight="1">
      <c r="A38" s="84" t="s">
        <v>116</v>
      </c>
      <c r="B38" s="84">
        <v>9339094.0</v>
      </c>
      <c r="C38" s="75">
        <v>0.0272</v>
      </c>
      <c r="D38" s="74">
        <v>6.0</v>
      </c>
      <c r="E38" s="75">
        <f t="shared" ref="E38:E142" si="7">C38*D38</f>
        <v>0.1632</v>
      </c>
      <c r="F38" s="84" t="s">
        <v>27</v>
      </c>
      <c r="G38" s="86" t="s">
        <v>117</v>
      </c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</row>
    <row r="39" ht="13.5" customHeight="1">
      <c r="A39" s="80" t="s">
        <v>118</v>
      </c>
      <c r="B39" s="80">
        <v>9339337.0</v>
      </c>
      <c r="C39" s="81">
        <v>0.03</v>
      </c>
      <c r="D39" s="80">
        <v>0.0</v>
      </c>
      <c r="E39" s="81">
        <f t="shared" si="7"/>
        <v>0</v>
      </c>
      <c r="F39" s="80" t="s">
        <v>27</v>
      </c>
      <c r="G39" s="48" t="s">
        <v>119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ht="13.5" customHeight="1">
      <c r="A40" s="80" t="s">
        <v>120</v>
      </c>
      <c r="B40" s="80">
        <v>9339574.0</v>
      </c>
      <c r="C40" s="81">
        <v>0.0272</v>
      </c>
      <c r="D40" s="80">
        <v>0.0</v>
      </c>
      <c r="E40" s="81">
        <f t="shared" si="7"/>
        <v>0</v>
      </c>
      <c r="F40" s="80" t="s">
        <v>27</v>
      </c>
      <c r="G40" s="48" t="s">
        <v>121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ht="13.5" customHeight="1">
      <c r="A41" s="80" t="s">
        <v>122</v>
      </c>
      <c r="B41" s="80">
        <v>3650021.0</v>
      </c>
      <c r="C41" s="81">
        <v>0.0272</v>
      </c>
      <c r="D41" s="80">
        <v>0.0</v>
      </c>
      <c r="E41" s="81">
        <f t="shared" si="7"/>
        <v>0</v>
      </c>
      <c r="F41" s="80" t="s">
        <v>27</v>
      </c>
      <c r="G41" s="48" t="s">
        <v>123</v>
      </c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ht="13.5" customHeight="1">
      <c r="A42" s="80" t="s">
        <v>124</v>
      </c>
      <c r="B42" s="80">
        <v>3650022.0</v>
      </c>
      <c r="C42" s="81">
        <v>0.03</v>
      </c>
      <c r="D42" s="80">
        <v>0.0</v>
      </c>
      <c r="E42" s="81">
        <f t="shared" si="7"/>
        <v>0</v>
      </c>
      <c r="F42" s="80" t="s">
        <v>27</v>
      </c>
      <c r="G42" s="48" t="s">
        <v>125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ht="13.5" customHeight="1">
      <c r="A43" s="80" t="s">
        <v>126</v>
      </c>
      <c r="B43" s="80">
        <v>3650023.0</v>
      </c>
      <c r="C43" s="81">
        <v>0.0272</v>
      </c>
      <c r="D43" s="80">
        <v>0.0</v>
      </c>
      <c r="E43" s="81">
        <f t="shared" si="7"/>
        <v>0</v>
      </c>
      <c r="F43" s="80" t="s">
        <v>27</v>
      </c>
      <c r="G43" s="48" t="s">
        <v>127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ht="13.5" customHeight="1">
      <c r="A44" s="80" t="s">
        <v>128</v>
      </c>
      <c r="B44" s="80">
        <v>3650024.0</v>
      </c>
      <c r="C44" s="81">
        <v>0.03</v>
      </c>
      <c r="D44" s="80">
        <v>0.0</v>
      </c>
      <c r="E44" s="81">
        <f t="shared" si="7"/>
        <v>0</v>
      </c>
      <c r="F44" s="80" t="s">
        <v>27</v>
      </c>
      <c r="G44" s="48" t="s">
        <v>129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ht="13.5" customHeight="1">
      <c r="A45" s="80" t="s">
        <v>130</v>
      </c>
      <c r="B45" s="80">
        <v>3650025.0</v>
      </c>
      <c r="C45" s="81">
        <v>0.0272</v>
      </c>
      <c r="D45" s="80">
        <v>0.0</v>
      </c>
      <c r="E45" s="81">
        <f t="shared" si="7"/>
        <v>0</v>
      </c>
      <c r="F45" s="80" t="s">
        <v>27</v>
      </c>
      <c r="G45" s="48" t="s">
        <v>131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ht="13.5" customHeight="1">
      <c r="A46" s="80" t="s">
        <v>132</v>
      </c>
      <c r="B46" s="80">
        <v>3650026.0</v>
      </c>
      <c r="C46" s="81">
        <v>0.03</v>
      </c>
      <c r="D46" s="80">
        <v>0.0</v>
      </c>
      <c r="E46" s="81">
        <f t="shared" si="7"/>
        <v>0</v>
      </c>
      <c r="F46" s="80" t="s">
        <v>27</v>
      </c>
      <c r="G46" s="48" t="s">
        <v>133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ht="13.5" customHeight="1">
      <c r="A47" s="80" t="s">
        <v>134</v>
      </c>
      <c r="B47" s="80">
        <v>3650027.0</v>
      </c>
      <c r="C47" s="81">
        <v>0.0272</v>
      </c>
      <c r="D47" s="80">
        <v>0.0</v>
      </c>
      <c r="E47" s="81">
        <f t="shared" si="7"/>
        <v>0</v>
      </c>
      <c r="F47" s="80" t="s">
        <v>27</v>
      </c>
      <c r="G47" s="48" t="s">
        <v>135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ht="13.5" customHeight="1">
      <c r="A48" s="80" t="s">
        <v>136</v>
      </c>
      <c r="B48" s="80">
        <v>3650028.0</v>
      </c>
      <c r="C48" s="81">
        <v>0.0272</v>
      </c>
      <c r="D48" s="80">
        <v>0.0</v>
      </c>
      <c r="E48" s="81">
        <f t="shared" si="7"/>
        <v>0</v>
      </c>
      <c r="F48" s="80" t="s">
        <v>27</v>
      </c>
      <c r="G48" s="48" t="s">
        <v>137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ht="13.5" customHeight="1">
      <c r="A49" s="80" t="s">
        <v>138</v>
      </c>
      <c r="B49" s="80">
        <v>3650031.0</v>
      </c>
      <c r="C49" s="81">
        <v>0.0272</v>
      </c>
      <c r="D49" s="80">
        <v>0.0</v>
      </c>
      <c r="E49" s="81">
        <f t="shared" si="7"/>
        <v>0</v>
      </c>
      <c r="F49" s="80" t="s">
        <v>27</v>
      </c>
      <c r="G49" s="48" t="s">
        <v>139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ht="13.5" customHeight="1">
      <c r="A50" s="80" t="s">
        <v>140</v>
      </c>
      <c r="B50" s="80">
        <v>3650032.0</v>
      </c>
      <c r="C50" s="81">
        <v>0.0272</v>
      </c>
      <c r="D50" s="80">
        <v>0.0</v>
      </c>
      <c r="E50" s="81">
        <f t="shared" si="7"/>
        <v>0</v>
      </c>
      <c r="F50" s="80" t="s">
        <v>27</v>
      </c>
      <c r="G50" s="48" t="s">
        <v>141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ht="13.5" customHeight="1">
      <c r="A51" s="80" t="s">
        <v>142</v>
      </c>
      <c r="B51" s="80">
        <v>3650033.0</v>
      </c>
      <c r="C51" s="81">
        <v>0.0272</v>
      </c>
      <c r="D51" s="80">
        <v>0.0</v>
      </c>
      <c r="E51" s="81">
        <f t="shared" si="7"/>
        <v>0</v>
      </c>
      <c r="F51" s="80" t="s">
        <v>27</v>
      </c>
      <c r="G51" s="48" t="s">
        <v>143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ht="13.5" customHeight="1">
      <c r="A52" s="80" t="s">
        <v>144</v>
      </c>
      <c r="B52" s="80">
        <v>3650034.0</v>
      </c>
      <c r="C52" s="81">
        <v>0.0272</v>
      </c>
      <c r="D52" s="80">
        <v>0.0</v>
      </c>
      <c r="E52" s="81">
        <f t="shared" si="7"/>
        <v>0</v>
      </c>
      <c r="F52" s="80" t="s">
        <v>27</v>
      </c>
      <c r="G52" s="48" t="s">
        <v>145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ht="13.5" customHeight="1">
      <c r="A53" s="80" t="s">
        <v>146</v>
      </c>
      <c r="B53" s="80">
        <v>3650035.0</v>
      </c>
      <c r="C53" s="81">
        <v>0.0272</v>
      </c>
      <c r="D53" s="80">
        <v>0.0</v>
      </c>
      <c r="E53" s="81">
        <f t="shared" si="7"/>
        <v>0</v>
      </c>
      <c r="F53" s="80" t="s">
        <v>27</v>
      </c>
      <c r="G53" s="48" t="s">
        <v>147</v>
      </c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ht="13.5" customHeight="1">
      <c r="A54" s="80" t="s">
        <v>148</v>
      </c>
      <c r="B54" s="80">
        <v>3650036.0</v>
      </c>
      <c r="C54" s="81">
        <v>0.0272</v>
      </c>
      <c r="D54" s="80">
        <v>0.0</v>
      </c>
      <c r="E54" s="81">
        <f t="shared" si="7"/>
        <v>0</v>
      </c>
      <c r="F54" s="80" t="s">
        <v>27</v>
      </c>
      <c r="G54" s="48" t="s">
        <v>149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ht="13.5" customHeight="1">
      <c r="A55" s="80" t="s">
        <v>150</v>
      </c>
      <c r="B55" s="80">
        <v>3650037.0</v>
      </c>
      <c r="C55" s="81">
        <v>0.0272</v>
      </c>
      <c r="D55" s="80">
        <v>0.0</v>
      </c>
      <c r="E55" s="81">
        <f t="shared" si="7"/>
        <v>0</v>
      </c>
      <c r="F55" s="80" t="s">
        <v>27</v>
      </c>
      <c r="G55" s="48" t="s">
        <v>151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ht="13.5" customHeight="1">
      <c r="A56" s="80" t="s">
        <v>152</v>
      </c>
      <c r="B56" s="80">
        <v>3650038.0</v>
      </c>
      <c r="C56" s="81">
        <v>0.0272</v>
      </c>
      <c r="D56" s="80">
        <v>0.0</v>
      </c>
      <c r="E56" s="81">
        <f t="shared" si="7"/>
        <v>0</v>
      </c>
      <c r="F56" s="80" t="s">
        <v>27</v>
      </c>
      <c r="G56" s="48" t="s">
        <v>153</v>
      </c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ht="13.5" customHeight="1">
      <c r="A57" s="80" t="s">
        <v>154</v>
      </c>
      <c r="B57" s="80">
        <v>3650039.0</v>
      </c>
      <c r="C57" s="81">
        <v>0.0272</v>
      </c>
      <c r="D57" s="80">
        <v>0.0</v>
      </c>
      <c r="E57" s="81">
        <f t="shared" si="7"/>
        <v>0</v>
      </c>
      <c r="F57" s="80" t="s">
        <v>27</v>
      </c>
      <c r="G57" s="48" t="s">
        <v>155</v>
      </c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ht="13.5" customHeight="1">
      <c r="A58" s="80" t="s">
        <v>156</v>
      </c>
      <c r="B58" s="80">
        <v>3650040.0</v>
      </c>
      <c r="C58" s="81">
        <v>0.0272</v>
      </c>
      <c r="D58" s="80">
        <v>0.0</v>
      </c>
      <c r="E58" s="81">
        <f t="shared" si="7"/>
        <v>0</v>
      </c>
      <c r="F58" s="80" t="s">
        <v>27</v>
      </c>
      <c r="G58" s="48" t="s">
        <v>157</v>
      </c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ht="13.5" customHeight="1">
      <c r="A59" s="80" t="s">
        <v>158</v>
      </c>
      <c r="B59" s="80">
        <v>3650041.0</v>
      </c>
      <c r="C59" s="81">
        <v>0.0272</v>
      </c>
      <c r="D59" s="80">
        <v>0.0</v>
      </c>
      <c r="E59" s="81">
        <f t="shared" si="7"/>
        <v>0</v>
      </c>
      <c r="F59" s="80" t="s">
        <v>27</v>
      </c>
      <c r="G59" s="48" t="s">
        <v>159</v>
      </c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ht="13.5" customHeight="1">
      <c r="A60" s="80" t="s">
        <v>160</v>
      </c>
      <c r="B60" s="80">
        <v>3650043.0</v>
      </c>
      <c r="C60" s="81">
        <v>0.0272</v>
      </c>
      <c r="D60" s="80">
        <v>0.0</v>
      </c>
      <c r="E60" s="81">
        <f t="shared" si="7"/>
        <v>0</v>
      </c>
      <c r="F60" s="80" t="s">
        <v>27</v>
      </c>
      <c r="G60" s="48" t="s">
        <v>161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ht="13.5" customHeight="1">
      <c r="A61" s="80" t="s">
        <v>162</v>
      </c>
      <c r="B61" s="80">
        <v>3650044.0</v>
      </c>
      <c r="C61" s="81">
        <v>0.0272</v>
      </c>
      <c r="D61" s="80">
        <v>0.0</v>
      </c>
      <c r="E61" s="81">
        <f t="shared" si="7"/>
        <v>0</v>
      </c>
      <c r="F61" s="80" t="s">
        <v>27</v>
      </c>
      <c r="G61" s="48" t="s">
        <v>163</v>
      </c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ht="13.5" customHeight="1">
      <c r="A62" s="80" t="s">
        <v>164</v>
      </c>
      <c r="B62" s="80">
        <v>3650045.0</v>
      </c>
      <c r="C62" s="81">
        <v>0.0272</v>
      </c>
      <c r="D62" s="80">
        <v>0.0</v>
      </c>
      <c r="E62" s="81">
        <f t="shared" si="7"/>
        <v>0</v>
      </c>
      <c r="F62" s="80" t="s">
        <v>27</v>
      </c>
      <c r="G62" s="48" t="s">
        <v>165</v>
      </c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ht="13.5" customHeight="1">
      <c r="A63" s="80" t="s">
        <v>166</v>
      </c>
      <c r="B63" s="80">
        <v>3650046.0</v>
      </c>
      <c r="C63" s="81">
        <v>0.0272</v>
      </c>
      <c r="D63" s="80">
        <v>0.0</v>
      </c>
      <c r="E63" s="81">
        <f t="shared" si="7"/>
        <v>0</v>
      </c>
      <c r="F63" s="80" t="s">
        <v>27</v>
      </c>
      <c r="G63" s="48" t="s">
        <v>167</v>
      </c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ht="13.5" customHeight="1">
      <c r="A64" s="80" t="s">
        <v>168</v>
      </c>
      <c r="B64" s="80">
        <v>3650047.0</v>
      </c>
      <c r="C64" s="81">
        <v>0.0272</v>
      </c>
      <c r="D64" s="80">
        <v>0.0</v>
      </c>
      <c r="E64" s="81">
        <f t="shared" si="7"/>
        <v>0</v>
      </c>
      <c r="F64" s="80" t="s">
        <v>27</v>
      </c>
      <c r="G64" s="48" t="s">
        <v>169</v>
      </c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ht="13.5" customHeight="1">
      <c r="A65" s="98" t="s">
        <v>43</v>
      </c>
      <c r="B65" s="80">
        <v>3650048.0</v>
      </c>
      <c r="C65" s="81">
        <v>0.0272</v>
      </c>
      <c r="D65" s="80">
        <v>0.0</v>
      </c>
      <c r="E65" s="81">
        <f t="shared" si="7"/>
        <v>0</v>
      </c>
      <c r="F65" s="80" t="s">
        <v>27</v>
      </c>
      <c r="G65" s="48" t="s">
        <v>170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ht="13.5" customHeight="1">
      <c r="A66" s="80" t="s">
        <v>171</v>
      </c>
      <c r="B66" s="80">
        <v>3650049.0</v>
      </c>
      <c r="C66" s="81">
        <v>0.0272</v>
      </c>
      <c r="D66" s="80">
        <v>0.0</v>
      </c>
      <c r="E66" s="81">
        <f t="shared" si="7"/>
        <v>0</v>
      </c>
      <c r="F66" s="80" t="s">
        <v>27</v>
      </c>
      <c r="G66" s="48" t="s">
        <v>172</v>
      </c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ht="13.5" customHeight="1">
      <c r="A67" s="80" t="s">
        <v>173</v>
      </c>
      <c r="B67" s="80">
        <v>3650050.0</v>
      </c>
      <c r="C67" s="81">
        <v>0.0272</v>
      </c>
      <c r="D67" s="80">
        <v>0.0</v>
      </c>
      <c r="E67" s="81">
        <f t="shared" si="7"/>
        <v>0</v>
      </c>
      <c r="F67" s="80" t="s">
        <v>27</v>
      </c>
      <c r="G67" s="48" t="s">
        <v>174</v>
      </c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ht="13.5" customHeight="1">
      <c r="A68" s="80" t="s">
        <v>175</v>
      </c>
      <c r="B68" s="80">
        <v>3650051.0</v>
      </c>
      <c r="C68" s="81">
        <v>0.0272</v>
      </c>
      <c r="D68" s="80">
        <v>0.0</v>
      </c>
      <c r="E68" s="81">
        <f t="shared" si="7"/>
        <v>0</v>
      </c>
      <c r="F68" s="80" t="s">
        <v>27</v>
      </c>
      <c r="G68" s="48" t="s">
        <v>176</v>
      </c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ht="13.5" customHeight="1">
      <c r="A69" s="80" t="s">
        <v>177</v>
      </c>
      <c r="B69" s="80">
        <v>3650052.0</v>
      </c>
      <c r="C69" s="81">
        <v>0.0272</v>
      </c>
      <c r="D69" s="80">
        <v>0.0</v>
      </c>
      <c r="E69" s="81">
        <f t="shared" si="7"/>
        <v>0</v>
      </c>
      <c r="F69" s="80" t="s">
        <v>27</v>
      </c>
      <c r="G69" s="48" t="s">
        <v>178</v>
      </c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ht="13.5" customHeight="1">
      <c r="A70" s="80" t="s">
        <v>179</v>
      </c>
      <c r="B70" s="80">
        <v>3650053.0</v>
      </c>
      <c r="C70" s="81">
        <v>0.0272</v>
      </c>
      <c r="D70" s="80">
        <v>0.0</v>
      </c>
      <c r="E70" s="81">
        <f t="shared" si="7"/>
        <v>0</v>
      </c>
      <c r="F70" s="80" t="s">
        <v>27</v>
      </c>
      <c r="G70" s="48" t="s">
        <v>180</v>
      </c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ht="13.5" customHeight="1">
      <c r="A71" s="80" t="s">
        <v>181</v>
      </c>
      <c r="B71" s="80">
        <v>3650055.0</v>
      </c>
      <c r="C71" s="81">
        <v>0.0272</v>
      </c>
      <c r="D71" s="80">
        <v>0.0</v>
      </c>
      <c r="E71" s="81">
        <f t="shared" si="7"/>
        <v>0</v>
      </c>
      <c r="F71" s="80" t="s">
        <v>27</v>
      </c>
      <c r="G71" s="48" t="s">
        <v>182</v>
      </c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ht="13.5" customHeight="1">
      <c r="A72" s="80" t="s">
        <v>183</v>
      </c>
      <c r="B72" s="80">
        <v>3650056.0</v>
      </c>
      <c r="C72" s="81">
        <v>0.0272</v>
      </c>
      <c r="D72" s="80">
        <v>0.0</v>
      </c>
      <c r="E72" s="81">
        <f t="shared" si="7"/>
        <v>0</v>
      </c>
      <c r="F72" s="80" t="s">
        <v>27</v>
      </c>
      <c r="G72" s="48" t="s">
        <v>184</v>
      </c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ht="13.5" customHeight="1">
      <c r="A73" s="80" t="s">
        <v>185</v>
      </c>
      <c r="B73" s="80">
        <v>3650057.0</v>
      </c>
      <c r="C73" s="81">
        <v>0.0272</v>
      </c>
      <c r="D73" s="80">
        <v>0.0</v>
      </c>
      <c r="E73" s="81">
        <f t="shared" si="7"/>
        <v>0</v>
      </c>
      <c r="F73" s="80" t="s">
        <v>27</v>
      </c>
      <c r="G73" s="48" t="s">
        <v>186</v>
      </c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ht="13.5" customHeight="1">
      <c r="A74" s="80" t="s">
        <v>187</v>
      </c>
      <c r="B74" s="80">
        <v>3650058.0</v>
      </c>
      <c r="C74" s="81">
        <v>0.0272</v>
      </c>
      <c r="D74" s="80">
        <v>0.0</v>
      </c>
      <c r="E74" s="81">
        <f t="shared" si="7"/>
        <v>0</v>
      </c>
      <c r="F74" s="80" t="s">
        <v>27</v>
      </c>
      <c r="G74" s="48" t="s">
        <v>188</v>
      </c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ht="13.5" customHeight="1">
      <c r="A75" s="80" t="s">
        <v>189</v>
      </c>
      <c r="B75" s="80">
        <v>3650059.0</v>
      </c>
      <c r="C75" s="81">
        <v>0.0272</v>
      </c>
      <c r="D75" s="80">
        <v>0.0</v>
      </c>
      <c r="E75" s="81">
        <f t="shared" si="7"/>
        <v>0</v>
      </c>
      <c r="F75" s="80" t="s">
        <v>27</v>
      </c>
      <c r="G75" s="48" t="s">
        <v>190</v>
      </c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ht="13.5" customHeight="1">
      <c r="A76" s="98" t="s">
        <v>44</v>
      </c>
      <c r="B76" s="80">
        <v>3650060.0</v>
      </c>
      <c r="C76" s="81">
        <v>0.0272</v>
      </c>
      <c r="D76" s="80">
        <v>0.0</v>
      </c>
      <c r="E76" s="81">
        <f t="shared" si="7"/>
        <v>0</v>
      </c>
      <c r="F76" s="80" t="s">
        <v>27</v>
      </c>
      <c r="G76" s="48" t="s">
        <v>191</v>
      </c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ht="13.5" customHeight="1">
      <c r="A77" s="80" t="s">
        <v>192</v>
      </c>
      <c r="B77" s="80">
        <v>3650061.0</v>
      </c>
      <c r="C77" s="81">
        <v>0.0272</v>
      </c>
      <c r="D77" s="80">
        <v>0.0</v>
      </c>
      <c r="E77" s="81">
        <f t="shared" si="7"/>
        <v>0</v>
      </c>
      <c r="F77" s="80" t="s">
        <v>27</v>
      </c>
      <c r="G77" s="48" t="s">
        <v>193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ht="13.5" customHeight="1">
      <c r="A78" s="80" t="s">
        <v>194</v>
      </c>
      <c r="B78" s="80">
        <v>3650062.0</v>
      </c>
      <c r="C78" s="81">
        <v>0.0272</v>
      </c>
      <c r="D78" s="80">
        <v>0.0</v>
      </c>
      <c r="E78" s="81">
        <f t="shared" si="7"/>
        <v>0</v>
      </c>
      <c r="F78" s="80" t="s">
        <v>27</v>
      </c>
      <c r="G78" s="48" t="s">
        <v>195</v>
      </c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ht="13.5" customHeight="1">
      <c r="A79" s="80" t="s">
        <v>196</v>
      </c>
      <c r="B79" s="80">
        <v>3650063.0</v>
      </c>
      <c r="C79" s="81">
        <v>0.0272</v>
      </c>
      <c r="D79" s="80">
        <v>0.0</v>
      </c>
      <c r="E79" s="81">
        <f t="shared" si="7"/>
        <v>0</v>
      </c>
      <c r="F79" s="80" t="s">
        <v>27</v>
      </c>
      <c r="G79" s="48" t="s">
        <v>197</v>
      </c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ht="13.5" customHeight="1">
      <c r="A80" s="80" t="s">
        <v>198</v>
      </c>
      <c r="B80" s="80">
        <v>3650064.0</v>
      </c>
      <c r="C80" s="81">
        <v>0.0272</v>
      </c>
      <c r="D80" s="80">
        <v>0.0</v>
      </c>
      <c r="E80" s="81">
        <f t="shared" si="7"/>
        <v>0</v>
      </c>
      <c r="F80" s="80" t="s">
        <v>27</v>
      </c>
      <c r="G80" s="48" t="s">
        <v>199</v>
      </c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ht="13.5" customHeight="1">
      <c r="A81" s="80" t="s">
        <v>200</v>
      </c>
      <c r="B81" s="80">
        <v>3650065.0</v>
      </c>
      <c r="C81" s="81">
        <v>0.0272</v>
      </c>
      <c r="D81" s="80">
        <v>0.0</v>
      </c>
      <c r="E81" s="81">
        <f t="shared" si="7"/>
        <v>0</v>
      </c>
      <c r="F81" s="80" t="s">
        <v>27</v>
      </c>
      <c r="G81" s="48" t="s">
        <v>201</v>
      </c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ht="13.5" customHeight="1">
      <c r="A82" s="80" t="s">
        <v>202</v>
      </c>
      <c r="B82" s="80">
        <v>3650067.0</v>
      </c>
      <c r="C82" s="81">
        <v>0.0272</v>
      </c>
      <c r="D82" s="80">
        <v>0.0</v>
      </c>
      <c r="E82" s="81">
        <f t="shared" si="7"/>
        <v>0</v>
      </c>
      <c r="F82" s="80" t="s">
        <v>27</v>
      </c>
      <c r="G82" s="48" t="s">
        <v>203</v>
      </c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ht="13.5" customHeight="1">
      <c r="A83" s="80" t="s">
        <v>204</v>
      </c>
      <c r="B83" s="80">
        <v>3650068.0</v>
      </c>
      <c r="C83" s="81">
        <v>0.0272</v>
      </c>
      <c r="D83" s="80">
        <v>0.0</v>
      </c>
      <c r="E83" s="81">
        <f t="shared" si="7"/>
        <v>0</v>
      </c>
      <c r="F83" s="80" t="s">
        <v>27</v>
      </c>
      <c r="G83" s="48" t="s">
        <v>205</v>
      </c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ht="13.5" customHeight="1">
      <c r="A84" s="80" t="s">
        <v>206</v>
      </c>
      <c r="B84" s="80">
        <v>3650069.0</v>
      </c>
      <c r="C84" s="81">
        <v>0.0272</v>
      </c>
      <c r="D84" s="80">
        <v>0.0</v>
      </c>
      <c r="E84" s="81">
        <f t="shared" si="7"/>
        <v>0</v>
      </c>
      <c r="F84" s="80" t="s">
        <v>27</v>
      </c>
      <c r="G84" s="48" t="s">
        <v>207</v>
      </c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ht="13.5" customHeight="1">
      <c r="A85" s="98" t="s">
        <v>45</v>
      </c>
      <c r="B85" s="80">
        <v>3650070.0</v>
      </c>
      <c r="C85" s="81">
        <v>0.0272</v>
      </c>
      <c r="D85" s="80">
        <v>0.0</v>
      </c>
      <c r="E85" s="81">
        <f t="shared" si="7"/>
        <v>0</v>
      </c>
      <c r="F85" s="80" t="s">
        <v>27</v>
      </c>
      <c r="G85" s="48" t="s">
        <v>208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ht="13.5" customHeight="1">
      <c r="A86" s="80" t="s">
        <v>209</v>
      </c>
      <c r="B86" s="80">
        <v>3650071.0</v>
      </c>
      <c r="C86" s="81">
        <v>0.0272</v>
      </c>
      <c r="D86" s="80">
        <v>0.0</v>
      </c>
      <c r="E86" s="81">
        <f t="shared" si="7"/>
        <v>0</v>
      </c>
      <c r="F86" s="80" t="s">
        <v>27</v>
      </c>
      <c r="G86" s="48" t="s">
        <v>210</v>
      </c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ht="13.5" customHeight="1">
      <c r="A87" s="80" t="s">
        <v>211</v>
      </c>
      <c r="B87" s="80">
        <v>3650072.0</v>
      </c>
      <c r="C87" s="81">
        <v>0.0272</v>
      </c>
      <c r="D87" s="80">
        <v>0.0</v>
      </c>
      <c r="E87" s="81">
        <f t="shared" si="7"/>
        <v>0</v>
      </c>
      <c r="F87" s="80" t="s">
        <v>27</v>
      </c>
      <c r="G87" s="48" t="s">
        <v>212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ht="13.5" customHeight="1">
      <c r="A88" s="80" t="s">
        <v>213</v>
      </c>
      <c r="B88" s="80">
        <v>3650073.0</v>
      </c>
      <c r="C88" s="81">
        <v>0.0272</v>
      </c>
      <c r="D88" s="80">
        <v>0.0</v>
      </c>
      <c r="E88" s="81">
        <f t="shared" si="7"/>
        <v>0</v>
      </c>
      <c r="F88" s="80" t="s">
        <v>27</v>
      </c>
      <c r="G88" s="48" t="s">
        <v>214</v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ht="13.5" customHeight="1">
      <c r="A89" s="98" t="s">
        <v>46</v>
      </c>
      <c r="B89" s="80">
        <v>3650074.0</v>
      </c>
      <c r="C89" s="81">
        <v>0.0272</v>
      </c>
      <c r="D89" s="80">
        <v>0.0</v>
      </c>
      <c r="E89" s="81">
        <f t="shared" si="7"/>
        <v>0</v>
      </c>
      <c r="F89" s="80" t="s">
        <v>27</v>
      </c>
      <c r="G89" s="48" t="s">
        <v>215</v>
      </c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ht="13.5" customHeight="1">
      <c r="A90" s="80" t="s">
        <v>216</v>
      </c>
      <c r="B90" s="80">
        <v>3650075.0</v>
      </c>
      <c r="C90" s="81">
        <v>0.0272</v>
      </c>
      <c r="D90" s="80">
        <v>0.0</v>
      </c>
      <c r="E90" s="81">
        <f t="shared" si="7"/>
        <v>0</v>
      </c>
      <c r="F90" s="80" t="s">
        <v>27</v>
      </c>
      <c r="G90" s="48" t="s">
        <v>217</v>
      </c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ht="13.5" customHeight="1">
      <c r="A91" s="80" t="s">
        <v>218</v>
      </c>
      <c r="B91" s="80">
        <v>3650076.0</v>
      </c>
      <c r="C91" s="81">
        <v>0.0272</v>
      </c>
      <c r="D91" s="80">
        <v>0.0</v>
      </c>
      <c r="E91" s="81">
        <f t="shared" si="7"/>
        <v>0</v>
      </c>
      <c r="F91" s="80" t="s">
        <v>27</v>
      </c>
      <c r="G91" s="48" t="s">
        <v>219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ht="13.5" customHeight="1">
      <c r="A92" s="80" t="s">
        <v>220</v>
      </c>
      <c r="B92" s="80">
        <v>3650077.0</v>
      </c>
      <c r="C92" s="81">
        <v>0.0272</v>
      </c>
      <c r="D92" s="80">
        <v>0.0</v>
      </c>
      <c r="E92" s="81">
        <f t="shared" si="7"/>
        <v>0</v>
      </c>
      <c r="F92" s="80" t="s">
        <v>27</v>
      </c>
      <c r="G92" s="48" t="s">
        <v>221</v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ht="13.5" customHeight="1">
      <c r="A93" s="80" t="s">
        <v>222</v>
      </c>
      <c r="B93" s="80">
        <v>3650079.0</v>
      </c>
      <c r="C93" s="81">
        <v>0.0272</v>
      </c>
      <c r="D93" s="80">
        <v>0.0</v>
      </c>
      <c r="E93" s="81">
        <f t="shared" si="7"/>
        <v>0</v>
      </c>
      <c r="F93" s="80" t="s">
        <v>27</v>
      </c>
      <c r="G93" s="48" t="s">
        <v>223</v>
      </c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13.5" customHeight="1">
      <c r="A94" s="80" t="s">
        <v>224</v>
      </c>
      <c r="B94" s="80">
        <v>3650081.0</v>
      </c>
      <c r="C94" s="81">
        <v>0.0272</v>
      </c>
      <c r="D94" s="80">
        <v>0.0</v>
      </c>
      <c r="E94" s="81">
        <f t="shared" si="7"/>
        <v>0</v>
      </c>
      <c r="F94" s="80" t="s">
        <v>27</v>
      </c>
      <c r="G94" s="48" t="s">
        <v>225</v>
      </c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ht="13.5" customHeight="1">
      <c r="A95" s="80" t="s">
        <v>226</v>
      </c>
      <c r="B95" s="80">
        <v>3650082.0</v>
      </c>
      <c r="C95" s="81">
        <v>0.0272</v>
      </c>
      <c r="D95" s="80">
        <v>0.0</v>
      </c>
      <c r="E95" s="81">
        <f t="shared" si="7"/>
        <v>0</v>
      </c>
      <c r="F95" s="80" t="s">
        <v>27</v>
      </c>
      <c r="G95" s="48" t="s">
        <v>227</v>
      </c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ht="13.5" customHeight="1">
      <c r="A96" s="80" t="s">
        <v>228</v>
      </c>
      <c r="B96" s="80">
        <v>3650083.0</v>
      </c>
      <c r="C96" s="81">
        <v>0.0272</v>
      </c>
      <c r="D96" s="80">
        <v>0.0</v>
      </c>
      <c r="E96" s="81">
        <f t="shared" si="7"/>
        <v>0</v>
      </c>
      <c r="F96" s="80" t="s">
        <v>27</v>
      </c>
      <c r="G96" s="48" t="s">
        <v>229</v>
      </c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ht="13.5" customHeight="1">
      <c r="A97" s="80" t="s">
        <v>230</v>
      </c>
      <c r="B97" s="80">
        <v>3650084.0</v>
      </c>
      <c r="C97" s="81">
        <v>0.0272</v>
      </c>
      <c r="D97" s="80">
        <v>0.0</v>
      </c>
      <c r="E97" s="81">
        <f t="shared" si="7"/>
        <v>0</v>
      </c>
      <c r="F97" s="80" t="s">
        <v>27</v>
      </c>
      <c r="G97" s="48" t="s">
        <v>231</v>
      </c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ht="13.5" customHeight="1">
      <c r="A98" s="80" t="s">
        <v>232</v>
      </c>
      <c r="B98" s="80">
        <v>3650085.0</v>
      </c>
      <c r="C98" s="81">
        <v>0.0272</v>
      </c>
      <c r="D98" s="80">
        <v>0.0</v>
      </c>
      <c r="E98" s="81">
        <f t="shared" si="7"/>
        <v>0</v>
      </c>
      <c r="F98" s="80" t="s">
        <v>27</v>
      </c>
      <c r="G98" s="48" t="s">
        <v>233</v>
      </c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ht="13.5" customHeight="1">
      <c r="A99" s="80" t="s">
        <v>234</v>
      </c>
      <c r="B99" s="80">
        <v>3650086.0</v>
      </c>
      <c r="C99" s="81">
        <v>0.0272</v>
      </c>
      <c r="D99" s="80">
        <v>0.0</v>
      </c>
      <c r="E99" s="81">
        <f t="shared" si="7"/>
        <v>0</v>
      </c>
      <c r="F99" s="80" t="s">
        <v>27</v>
      </c>
      <c r="G99" s="48" t="s">
        <v>235</v>
      </c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3.5" customHeight="1">
      <c r="A100" s="80" t="s">
        <v>236</v>
      </c>
      <c r="B100" s="80">
        <v>3650087.0</v>
      </c>
      <c r="C100" s="81">
        <v>0.0272</v>
      </c>
      <c r="D100" s="80">
        <v>0.0</v>
      </c>
      <c r="E100" s="81">
        <f t="shared" si="7"/>
        <v>0</v>
      </c>
      <c r="F100" s="80" t="s">
        <v>27</v>
      </c>
      <c r="G100" s="48" t="s">
        <v>237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3.5" customHeight="1">
      <c r="A101" s="80" t="s">
        <v>238</v>
      </c>
      <c r="B101" s="80">
        <v>3650088.0</v>
      </c>
      <c r="C101" s="81">
        <v>0.0272</v>
      </c>
      <c r="D101" s="80">
        <v>0.0</v>
      </c>
      <c r="E101" s="81">
        <f t="shared" si="7"/>
        <v>0</v>
      </c>
      <c r="F101" s="80" t="s">
        <v>27</v>
      </c>
      <c r="G101" s="48" t="s">
        <v>239</v>
      </c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ht="13.5" customHeight="1">
      <c r="A102" s="98" t="s">
        <v>47</v>
      </c>
      <c r="B102" s="80">
        <v>3650089.0</v>
      </c>
      <c r="C102" s="81">
        <v>0.0272</v>
      </c>
      <c r="D102" s="80">
        <v>0.0</v>
      </c>
      <c r="E102" s="81">
        <f t="shared" si="7"/>
        <v>0</v>
      </c>
      <c r="F102" s="80" t="s">
        <v>27</v>
      </c>
      <c r="G102" s="48" t="s">
        <v>240</v>
      </c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ht="13.5" customHeight="1">
      <c r="A103" s="80" t="s">
        <v>241</v>
      </c>
      <c r="B103" s="80">
        <v>3650090.0</v>
      </c>
      <c r="C103" s="81">
        <v>0.0272</v>
      </c>
      <c r="D103" s="80">
        <v>0.0</v>
      </c>
      <c r="E103" s="81">
        <f t="shared" si="7"/>
        <v>0</v>
      </c>
      <c r="F103" s="80" t="s">
        <v>27</v>
      </c>
      <c r="G103" s="48" t="s">
        <v>242</v>
      </c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ht="13.5" customHeight="1">
      <c r="A104" s="80" t="s">
        <v>243</v>
      </c>
      <c r="B104" s="80">
        <v>3650092.0</v>
      </c>
      <c r="C104" s="81">
        <v>0.0272</v>
      </c>
      <c r="D104" s="80">
        <v>0.0</v>
      </c>
      <c r="E104" s="81">
        <f t="shared" si="7"/>
        <v>0</v>
      </c>
      <c r="F104" s="80" t="s">
        <v>27</v>
      </c>
      <c r="G104" s="48" t="s">
        <v>244</v>
      </c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3.5" customHeight="1">
      <c r="A105" s="98" t="s">
        <v>48</v>
      </c>
      <c r="B105" s="80">
        <v>3650093.0</v>
      </c>
      <c r="C105" s="81">
        <v>0.0272</v>
      </c>
      <c r="D105" s="80">
        <v>0.0</v>
      </c>
      <c r="E105" s="81">
        <f t="shared" si="7"/>
        <v>0</v>
      </c>
      <c r="F105" s="80" t="s">
        <v>27</v>
      </c>
      <c r="G105" s="48" t="s">
        <v>245</v>
      </c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3.5" customHeight="1">
      <c r="A106" s="80" t="s">
        <v>246</v>
      </c>
      <c r="B106" s="80">
        <v>3650094.0</v>
      </c>
      <c r="C106" s="81">
        <v>0.0272</v>
      </c>
      <c r="D106" s="80">
        <v>0.0</v>
      </c>
      <c r="E106" s="81">
        <f t="shared" si="7"/>
        <v>0</v>
      </c>
      <c r="F106" s="80" t="s">
        <v>27</v>
      </c>
      <c r="G106" s="48" t="s">
        <v>247</v>
      </c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ht="13.5" customHeight="1">
      <c r="A107" s="80" t="s">
        <v>248</v>
      </c>
      <c r="B107" s="80">
        <v>3650095.0</v>
      </c>
      <c r="C107" s="81">
        <v>0.0272</v>
      </c>
      <c r="D107" s="80">
        <v>0.0</v>
      </c>
      <c r="E107" s="81">
        <f t="shared" si="7"/>
        <v>0</v>
      </c>
      <c r="F107" s="80" t="s">
        <v>27</v>
      </c>
      <c r="G107" s="48" t="s">
        <v>249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ht="13.5" customHeight="1">
      <c r="A108" s="80" t="s">
        <v>250</v>
      </c>
      <c r="B108" s="80">
        <v>3650096.0</v>
      </c>
      <c r="C108" s="81">
        <v>0.0272</v>
      </c>
      <c r="D108" s="80">
        <v>0.0</v>
      </c>
      <c r="E108" s="81">
        <f t="shared" si="7"/>
        <v>0</v>
      </c>
      <c r="F108" s="80" t="s">
        <v>27</v>
      </c>
      <c r="G108" s="48" t="s">
        <v>251</v>
      </c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ht="13.5" customHeight="1">
      <c r="A109" s="80" t="s">
        <v>252</v>
      </c>
      <c r="B109" s="80">
        <v>3650097.0</v>
      </c>
      <c r="C109" s="81">
        <v>0.0272</v>
      </c>
      <c r="D109" s="80">
        <v>0.0</v>
      </c>
      <c r="E109" s="81">
        <f t="shared" si="7"/>
        <v>0</v>
      </c>
      <c r="F109" s="80" t="s">
        <v>27</v>
      </c>
      <c r="G109" s="48" t="s">
        <v>253</v>
      </c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ht="13.5" customHeight="1">
      <c r="A110" s="80" t="s">
        <v>254</v>
      </c>
      <c r="B110" s="80">
        <v>3650098.0</v>
      </c>
      <c r="C110" s="81">
        <v>0.0272</v>
      </c>
      <c r="D110" s="80">
        <v>0.0</v>
      </c>
      <c r="E110" s="81">
        <f t="shared" si="7"/>
        <v>0</v>
      </c>
      <c r="F110" s="80" t="s">
        <v>27</v>
      </c>
      <c r="G110" s="48" t="s">
        <v>255</v>
      </c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ht="13.5" customHeight="1">
      <c r="A111" s="80" t="s">
        <v>256</v>
      </c>
      <c r="B111" s="80">
        <v>3650099.0</v>
      </c>
      <c r="C111" s="81">
        <v>0.0272</v>
      </c>
      <c r="D111" s="80">
        <v>0.0</v>
      </c>
      <c r="E111" s="81">
        <f t="shared" si="7"/>
        <v>0</v>
      </c>
      <c r="F111" s="80" t="s">
        <v>27</v>
      </c>
      <c r="G111" s="48" t="s">
        <v>257</v>
      </c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ht="13.5" customHeight="1">
      <c r="A112" s="80" t="s">
        <v>258</v>
      </c>
      <c r="B112" s="80">
        <v>3650100.0</v>
      </c>
      <c r="C112" s="81">
        <v>0.0272</v>
      </c>
      <c r="D112" s="80">
        <v>0.0</v>
      </c>
      <c r="E112" s="81">
        <f t="shared" si="7"/>
        <v>0</v>
      </c>
      <c r="F112" s="80" t="s">
        <v>27</v>
      </c>
      <c r="G112" s="48" t="s">
        <v>259</v>
      </c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ht="13.5" customHeight="1">
      <c r="A113" s="80" t="s">
        <v>260</v>
      </c>
      <c r="B113" s="80">
        <v>3650101.0</v>
      </c>
      <c r="C113" s="81">
        <v>0.0272</v>
      </c>
      <c r="D113" s="80">
        <v>0.0</v>
      </c>
      <c r="E113" s="81">
        <f t="shared" si="7"/>
        <v>0</v>
      </c>
      <c r="F113" s="80" t="s">
        <v>27</v>
      </c>
      <c r="G113" s="48" t="s">
        <v>261</v>
      </c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ht="13.5" customHeight="1">
      <c r="A114" s="80" t="s">
        <v>262</v>
      </c>
      <c r="B114" s="80">
        <v>3650102.0</v>
      </c>
      <c r="C114" s="81">
        <v>0.0272</v>
      </c>
      <c r="D114" s="80">
        <v>0.0</v>
      </c>
      <c r="E114" s="81">
        <f t="shared" si="7"/>
        <v>0</v>
      </c>
      <c r="F114" s="80" t="s">
        <v>27</v>
      </c>
      <c r="G114" s="48" t="s">
        <v>263</v>
      </c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ht="13.5" customHeight="1">
      <c r="A115" s="80" t="s">
        <v>264</v>
      </c>
      <c r="B115" s="80">
        <v>3650103.0</v>
      </c>
      <c r="C115" s="81">
        <v>0.0272</v>
      </c>
      <c r="D115" s="80">
        <v>0.0</v>
      </c>
      <c r="E115" s="81">
        <f t="shared" si="7"/>
        <v>0</v>
      </c>
      <c r="F115" s="80" t="s">
        <v>27</v>
      </c>
      <c r="G115" s="48" t="s">
        <v>265</v>
      </c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ht="13.5" customHeight="1">
      <c r="A116" s="80" t="s">
        <v>266</v>
      </c>
      <c r="B116" s="80">
        <v>3650104.0</v>
      </c>
      <c r="C116" s="81">
        <v>0.0272</v>
      </c>
      <c r="D116" s="80">
        <v>0.0</v>
      </c>
      <c r="E116" s="81">
        <f t="shared" si="7"/>
        <v>0</v>
      </c>
      <c r="F116" s="80" t="s">
        <v>27</v>
      </c>
      <c r="G116" s="48" t="s">
        <v>267</v>
      </c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ht="13.5" customHeight="1">
      <c r="A117" s="80" t="s">
        <v>268</v>
      </c>
      <c r="B117" s="80">
        <v>3650105.0</v>
      </c>
      <c r="C117" s="81">
        <v>0.0272</v>
      </c>
      <c r="D117" s="80">
        <v>0.0</v>
      </c>
      <c r="E117" s="81">
        <f t="shared" si="7"/>
        <v>0</v>
      </c>
      <c r="F117" s="80" t="s">
        <v>27</v>
      </c>
      <c r="G117" s="48" t="s">
        <v>269</v>
      </c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ht="13.5" customHeight="1">
      <c r="A118" s="98" t="s">
        <v>49</v>
      </c>
      <c r="B118" s="80">
        <v>3650106.0</v>
      </c>
      <c r="C118" s="81">
        <v>0.0272</v>
      </c>
      <c r="D118" s="80">
        <v>0.0</v>
      </c>
      <c r="E118" s="81">
        <f t="shared" si="7"/>
        <v>0</v>
      </c>
      <c r="F118" s="80" t="s">
        <v>27</v>
      </c>
      <c r="G118" s="48" t="s">
        <v>270</v>
      </c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ht="13.5" customHeight="1">
      <c r="A119" s="80" t="s">
        <v>271</v>
      </c>
      <c r="B119" s="80">
        <v>3650107.0</v>
      </c>
      <c r="C119" s="81">
        <v>0.0272</v>
      </c>
      <c r="D119" s="80">
        <v>0.0</v>
      </c>
      <c r="E119" s="81">
        <f t="shared" si="7"/>
        <v>0</v>
      </c>
      <c r="F119" s="80" t="s">
        <v>27</v>
      </c>
      <c r="G119" s="48" t="s">
        <v>272</v>
      </c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ht="13.5" customHeight="1">
      <c r="A120" s="80" t="s">
        <v>273</v>
      </c>
      <c r="B120" s="80">
        <v>3650109.0</v>
      </c>
      <c r="C120" s="81">
        <v>0.0272</v>
      </c>
      <c r="D120" s="80">
        <v>0.0</v>
      </c>
      <c r="E120" s="81">
        <f t="shared" si="7"/>
        <v>0</v>
      </c>
      <c r="F120" s="80" t="s">
        <v>27</v>
      </c>
      <c r="G120" s="48" t="s">
        <v>274</v>
      </c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ht="13.5" customHeight="1">
      <c r="A121" s="80" t="s">
        <v>275</v>
      </c>
      <c r="B121" s="80">
        <v>3650111.0</v>
      </c>
      <c r="C121" s="81">
        <v>0.0272</v>
      </c>
      <c r="D121" s="80">
        <v>0.0</v>
      </c>
      <c r="E121" s="81">
        <f t="shared" si="7"/>
        <v>0</v>
      </c>
      <c r="F121" s="80" t="s">
        <v>27</v>
      </c>
      <c r="G121" s="48" t="s">
        <v>276</v>
      </c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ht="13.5" customHeight="1">
      <c r="A122" s="80" t="s">
        <v>277</v>
      </c>
      <c r="B122" s="80">
        <v>3650112.0</v>
      </c>
      <c r="C122" s="81">
        <v>0.0272</v>
      </c>
      <c r="D122" s="80">
        <v>0.0</v>
      </c>
      <c r="E122" s="81">
        <f t="shared" si="7"/>
        <v>0</v>
      </c>
      <c r="F122" s="80" t="s">
        <v>27</v>
      </c>
      <c r="G122" s="48" t="s">
        <v>278</v>
      </c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ht="13.5" customHeight="1">
      <c r="A123" s="80" t="s">
        <v>279</v>
      </c>
      <c r="B123" s="80">
        <v>3650113.0</v>
      </c>
      <c r="C123" s="81">
        <v>0.0272</v>
      </c>
      <c r="D123" s="80">
        <v>0.0</v>
      </c>
      <c r="E123" s="81">
        <f t="shared" si="7"/>
        <v>0</v>
      </c>
      <c r="F123" s="80" t="s">
        <v>27</v>
      </c>
      <c r="G123" s="48" t="s">
        <v>280</v>
      </c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ht="13.5" customHeight="1">
      <c r="A124" s="98" t="s">
        <v>50</v>
      </c>
      <c r="B124" s="80">
        <v>3650114.0</v>
      </c>
      <c r="C124" s="81">
        <v>0.0272</v>
      </c>
      <c r="D124" s="80">
        <v>0.0</v>
      </c>
      <c r="E124" s="81">
        <f t="shared" si="7"/>
        <v>0</v>
      </c>
      <c r="F124" s="80" t="s">
        <v>27</v>
      </c>
      <c r="G124" s="48" t="s">
        <v>281</v>
      </c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ht="13.5" customHeight="1">
      <c r="A125" s="80" t="s">
        <v>282</v>
      </c>
      <c r="B125" s="80">
        <v>3650115.0</v>
      </c>
      <c r="C125" s="81">
        <v>0.0272</v>
      </c>
      <c r="D125" s="80">
        <v>0.0</v>
      </c>
      <c r="E125" s="81">
        <f t="shared" si="7"/>
        <v>0</v>
      </c>
      <c r="F125" s="80" t="s">
        <v>27</v>
      </c>
      <c r="G125" s="48" t="s">
        <v>283</v>
      </c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ht="13.5" customHeight="1">
      <c r="A126" s="80" t="s">
        <v>284</v>
      </c>
      <c r="B126" s="80">
        <v>3650116.0</v>
      </c>
      <c r="C126" s="81">
        <v>0.0272</v>
      </c>
      <c r="D126" s="80">
        <v>0.0</v>
      </c>
      <c r="E126" s="81">
        <f t="shared" si="7"/>
        <v>0</v>
      </c>
      <c r="F126" s="80" t="s">
        <v>27</v>
      </c>
      <c r="G126" s="48" t="s">
        <v>285</v>
      </c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ht="13.5" customHeight="1">
      <c r="A127" s="80" t="s">
        <v>286</v>
      </c>
      <c r="B127" s="80">
        <v>9339493.0</v>
      </c>
      <c r="C127" s="81">
        <v>0.0272</v>
      </c>
      <c r="D127" s="80">
        <v>0.0</v>
      </c>
      <c r="E127" s="81">
        <f t="shared" si="7"/>
        <v>0</v>
      </c>
      <c r="F127" s="80" t="s">
        <v>27</v>
      </c>
      <c r="G127" s="48" t="s">
        <v>287</v>
      </c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ht="13.5" customHeight="1">
      <c r="A128" s="80" t="s">
        <v>288</v>
      </c>
      <c r="B128" s="80">
        <v>3650117.0</v>
      </c>
      <c r="C128" s="81">
        <v>0.0272</v>
      </c>
      <c r="D128" s="80">
        <v>0.0</v>
      </c>
      <c r="E128" s="81">
        <f t="shared" si="7"/>
        <v>0</v>
      </c>
      <c r="F128" s="80" t="s">
        <v>27</v>
      </c>
      <c r="G128" s="48" t="s">
        <v>289</v>
      </c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ht="13.5" customHeight="1">
      <c r="A129" s="80" t="s">
        <v>290</v>
      </c>
      <c r="B129" s="80">
        <v>3650118.0</v>
      </c>
      <c r="C129" s="81">
        <v>0.0272</v>
      </c>
      <c r="D129" s="80">
        <v>0.0</v>
      </c>
      <c r="E129" s="81">
        <f t="shared" si="7"/>
        <v>0</v>
      </c>
      <c r="F129" s="80" t="s">
        <v>27</v>
      </c>
      <c r="G129" s="48" t="s">
        <v>291</v>
      </c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ht="13.5" customHeight="1">
      <c r="A130" s="80" t="s">
        <v>292</v>
      </c>
      <c r="B130" s="80">
        <v>3650119.0</v>
      </c>
      <c r="C130" s="81">
        <v>0.0272</v>
      </c>
      <c r="D130" s="80">
        <v>0.0</v>
      </c>
      <c r="E130" s="81">
        <f t="shared" si="7"/>
        <v>0</v>
      </c>
      <c r="F130" s="80" t="s">
        <v>27</v>
      </c>
      <c r="G130" s="48" t="s">
        <v>293</v>
      </c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ht="13.5" customHeight="1">
      <c r="A131" s="80" t="s">
        <v>294</v>
      </c>
      <c r="B131" s="80">
        <v>9339612.0</v>
      </c>
      <c r="C131" s="81">
        <v>0.0272</v>
      </c>
      <c r="D131" s="80">
        <v>0.0</v>
      </c>
      <c r="E131" s="81">
        <f t="shared" si="7"/>
        <v>0</v>
      </c>
      <c r="F131" s="80" t="s">
        <v>27</v>
      </c>
      <c r="G131" s="48" t="s">
        <v>295</v>
      </c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ht="13.5" customHeight="1">
      <c r="A132" s="80" t="s">
        <v>296</v>
      </c>
      <c r="B132" s="80">
        <v>3650120.0</v>
      </c>
      <c r="C132" s="81">
        <v>0.0272</v>
      </c>
      <c r="D132" s="80">
        <v>0.0</v>
      </c>
      <c r="E132" s="81">
        <f t="shared" si="7"/>
        <v>0</v>
      </c>
      <c r="F132" s="80" t="s">
        <v>27</v>
      </c>
      <c r="G132" s="48" t="s">
        <v>297</v>
      </c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ht="13.5" customHeight="1">
      <c r="A133" s="99" t="s">
        <v>298</v>
      </c>
      <c r="B133" s="99">
        <v>3650122.0</v>
      </c>
      <c r="C133" s="100">
        <v>0.0272</v>
      </c>
      <c r="D133" s="99">
        <v>0.0</v>
      </c>
      <c r="E133" s="100">
        <f t="shared" si="7"/>
        <v>0</v>
      </c>
      <c r="F133" s="99" t="s">
        <v>27</v>
      </c>
      <c r="G133" s="101" t="s">
        <v>299</v>
      </c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ht="13.5" customHeight="1">
      <c r="A134" s="80" t="s">
        <v>300</v>
      </c>
      <c r="B134" s="80">
        <v>3650123.0</v>
      </c>
      <c r="C134" s="81">
        <v>0.0272</v>
      </c>
      <c r="D134" s="80">
        <v>0.0</v>
      </c>
      <c r="E134" s="81">
        <f t="shared" si="7"/>
        <v>0</v>
      </c>
      <c r="F134" s="80" t="s">
        <v>27</v>
      </c>
      <c r="G134" s="48" t="s">
        <v>301</v>
      </c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ht="13.5" customHeight="1">
      <c r="A135" s="80" t="s">
        <v>302</v>
      </c>
      <c r="B135" s="80">
        <v>3650124.0</v>
      </c>
      <c r="C135" s="81">
        <v>0.0272</v>
      </c>
      <c r="D135" s="80">
        <v>0.0</v>
      </c>
      <c r="E135" s="81">
        <f t="shared" si="7"/>
        <v>0</v>
      </c>
      <c r="F135" s="80" t="s">
        <v>27</v>
      </c>
      <c r="G135" s="48" t="s">
        <v>303</v>
      </c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ht="13.5" customHeight="1">
      <c r="A136" s="80" t="s">
        <v>304</v>
      </c>
      <c r="B136" s="80">
        <v>3650125.0</v>
      </c>
      <c r="C136" s="81">
        <v>0.0272</v>
      </c>
      <c r="D136" s="80">
        <v>0.0</v>
      </c>
      <c r="E136" s="81">
        <f t="shared" si="7"/>
        <v>0</v>
      </c>
      <c r="F136" s="80" t="s">
        <v>27</v>
      </c>
      <c r="G136" s="48" t="s">
        <v>305</v>
      </c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ht="13.5" customHeight="1">
      <c r="A137" s="80" t="s">
        <v>306</v>
      </c>
      <c r="B137" s="80">
        <v>3650126.0</v>
      </c>
      <c r="C137" s="81">
        <v>0.0272</v>
      </c>
      <c r="D137" s="80">
        <v>0.0</v>
      </c>
      <c r="E137" s="81">
        <f t="shared" si="7"/>
        <v>0</v>
      </c>
      <c r="F137" s="80" t="s">
        <v>27</v>
      </c>
      <c r="G137" s="102" t="s">
        <v>307</v>
      </c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ht="13.5" customHeight="1">
      <c r="A138" s="80" t="s">
        <v>308</v>
      </c>
      <c r="B138" s="80">
        <v>9339140.0</v>
      </c>
      <c r="C138" s="81">
        <v>0.0272</v>
      </c>
      <c r="D138" s="80">
        <v>0.0</v>
      </c>
      <c r="E138" s="81">
        <f t="shared" si="7"/>
        <v>0</v>
      </c>
      <c r="F138" s="80" t="s">
        <v>27</v>
      </c>
      <c r="G138" s="103" t="s">
        <v>309</v>
      </c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ht="13.5" customHeight="1">
      <c r="A139" s="80" t="s">
        <v>310</v>
      </c>
      <c r="B139" s="80">
        <v>9339205.0</v>
      </c>
      <c r="C139" s="81">
        <v>0.0272</v>
      </c>
      <c r="D139" s="80">
        <v>0.0</v>
      </c>
      <c r="E139" s="81">
        <f t="shared" si="7"/>
        <v>0</v>
      </c>
      <c r="F139" s="80" t="s">
        <v>27</v>
      </c>
      <c r="G139" s="48" t="s">
        <v>311</v>
      </c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3.5" customHeight="1">
      <c r="A140" s="80" t="s">
        <v>312</v>
      </c>
      <c r="B140" s="80">
        <v>9339329.0</v>
      </c>
      <c r="C140" s="81">
        <v>0.0272</v>
      </c>
      <c r="D140" s="80">
        <v>0.0</v>
      </c>
      <c r="E140" s="81">
        <f t="shared" si="7"/>
        <v>0</v>
      </c>
      <c r="F140" s="80" t="s">
        <v>27</v>
      </c>
      <c r="G140" s="48" t="s">
        <v>313</v>
      </c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3.5" customHeight="1">
      <c r="A141" s="80" t="s">
        <v>314</v>
      </c>
      <c r="B141" s="80">
        <v>9339566.0</v>
      </c>
      <c r="C141" s="81">
        <v>0.0272</v>
      </c>
      <c r="D141" s="80">
        <v>0.0</v>
      </c>
      <c r="E141" s="81">
        <f t="shared" si="7"/>
        <v>0</v>
      </c>
      <c r="F141" s="80" t="s">
        <v>27</v>
      </c>
      <c r="G141" s="48" t="s">
        <v>315</v>
      </c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ht="13.5" customHeight="1">
      <c r="A142" s="80" t="s">
        <v>316</v>
      </c>
      <c r="B142" s="80">
        <v>9339086.0</v>
      </c>
      <c r="C142" s="81">
        <v>0.0272</v>
      </c>
      <c r="D142" s="80">
        <v>0.0</v>
      </c>
      <c r="E142" s="81">
        <f t="shared" si="7"/>
        <v>0</v>
      </c>
      <c r="F142" s="80" t="s">
        <v>27</v>
      </c>
      <c r="G142" s="48" t="s">
        <v>317</v>
      </c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ht="13.5" customHeight="1">
      <c r="A143" s="90" t="s">
        <v>53</v>
      </c>
      <c r="B143" s="80"/>
      <c r="C143" s="81"/>
      <c r="D143" s="80"/>
      <c r="E143" s="81"/>
      <c r="F143" s="80"/>
      <c r="G143" s="91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ht="13.5" customHeight="1">
      <c r="A144" s="77" t="s">
        <v>318</v>
      </c>
      <c r="B144" s="77">
        <v>2860085.0</v>
      </c>
      <c r="C144" s="104">
        <v>0.05</v>
      </c>
      <c r="D144" s="77">
        <v>0.0</v>
      </c>
      <c r="E144" s="81">
        <f t="shared" ref="E144:E162" si="8">C144*D144</f>
        <v>0</v>
      </c>
      <c r="F144" s="77" t="s">
        <v>27</v>
      </c>
      <c r="G144" s="48" t="s">
        <v>319</v>
      </c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ht="13.5" customHeight="1">
      <c r="A145" s="77" t="s">
        <v>320</v>
      </c>
      <c r="B145" s="77">
        <v>2860117.0</v>
      </c>
      <c r="C145" s="104">
        <v>0.08</v>
      </c>
      <c r="D145" s="77">
        <v>0.0</v>
      </c>
      <c r="E145" s="81">
        <f t="shared" si="8"/>
        <v>0</v>
      </c>
      <c r="F145" s="77" t="s">
        <v>27</v>
      </c>
      <c r="G145" s="48" t="s">
        <v>321</v>
      </c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ht="13.5" customHeight="1">
      <c r="A146" s="77" t="s">
        <v>322</v>
      </c>
      <c r="B146" s="77">
        <v>3812214.0</v>
      </c>
      <c r="C146" s="104">
        <v>0.07</v>
      </c>
      <c r="D146" s="77">
        <v>0.0</v>
      </c>
      <c r="E146" s="81">
        <f t="shared" si="8"/>
        <v>0</v>
      </c>
      <c r="F146" s="77" t="s">
        <v>27</v>
      </c>
      <c r="G146" s="48" t="s">
        <v>323</v>
      </c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ht="13.5" customHeight="1">
      <c r="A147" s="77" t="s">
        <v>324</v>
      </c>
      <c r="B147" s="77">
        <v>2860093.0</v>
      </c>
      <c r="C147" s="104">
        <v>0.07</v>
      </c>
      <c r="D147" s="77">
        <v>0.0</v>
      </c>
      <c r="E147" s="81">
        <f t="shared" si="8"/>
        <v>0</v>
      </c>
      <c r="F147" s="77" t="s">
        <v>27</v>
      </c>
      <c r="G147" s="48" t="s">
        <v>325</v>
      </c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ht="13.5" customHeight="1">
      <c r="A148" s="77" t="s">
        <v>326</v>
      </c>
      <c r="B148" s="77">
        <v>2860119.0</v>
      </c>
      <c r="C148" s="104">
        <v>0.08</v>
      </c>
      <c r="D148" s="77">
        <v>0.0</v>
      </c>
      <c r="E148" s="81">
        <f t="shared" si="8"/>
        <v>0</v>
      </c>
      <c r="F148" s="77" t="s">
        <v>27</v>
      </c>
      <c r="G148" s="48" t="s">
        <v>327</v>
      </c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ht="13.5" customHeight="1">
      <c r="A149" s="77" t="s">
        <v>328</v>
      </c>
      <c r="B149" s="77">
        <v>3812216.0</v>
      </c>
      <c r="C149" s="104">
        <v>0.06</v>
      </c>
      <c r="D149" s="77">
        <v>0.0</v>
      </c>
      <c r="E149" s="81">
        <f t="shared" si="8"/>
        <v>0</v>
      </c>
      <c r="F149" s="77" t="s">
        <v>27</v>
      </c>
      <c r="G149" s="48" t="s">
        <v>329</v>
      </c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ht="13.5" customHeight="1">
      <c r="A150" s="77" t="s">
        <v>55</v>
      </c>
      <c r="B150" s="77">
        <v>2507750.0</v>
      </c>
      <c r="C150" s="104">
        <v>0.08</v>
      </c>
      <c r="D150" s="77">
        <v>0.0</v>
      </c>
      <c r="E150" s="81">
        <f t="shared" si="8"/>
        <v>0</v>
      </c>
      <c r="F150" s="77" t="s">
        <v>27</v>
      </c>
      <c r="G150" s="48" t="s">
        <v>330</v>
      </c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ht="13.5" customHeight="1">
      <c r="A151" s="77" t="s">
        <v>331</v>
      </c>
      <c r="B151" s="77">
        <v>2860121.0</v>
      </c>
      <c r="C151" s="104">
        <v>0.21</v>
      </c>
      <c r="D151" s="77">
        <v>0.0</v>
      </c>
      <c r="E151" s="81">
        <f t="shared" si="8"/>
        <v>0</v>
      </c>
      <c r="F151" s="77" t="s">
        <v>27</v>
      </c>
      <c r="G151" s="48" t="s">
        <v>332</v>
      </c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ht="13.5" customHeight="1">
      <c r="A152" s="77" t="s">
        <v>54</v>
      </c>
      <c r="B152" s="77">
        <v>2860137.0</v>
      </c>
      <c r="C152" s="104">
        <v>0.31</v>
      </c>
      <c r="D152" s="77">
        <v>0.0</v>
      </c>
      <c r="E152" s="81">
        <f t="shared" si="8"/>
        <v>0</v>
      </c>
      <c r="F152" s="77" t="s">
        <v>27</v>
      </c>
      <c r="G152" s="48" t="s">
        <v>333</v>
      </c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ht="13.5" customHeight="1">
      <c r="A153" s="80" t="s">
        <v>334</v>
      </c>
      <c r="B153" s="80">
        <v>1753978.0</v>
      </c>
      <c r="C153" s="81">
        <v>0.423</v>
      </c>
      <c r="D153" s="80">
        <v>0.0</v>
      </c>
      <c r="E153" s="81">
        <f t="shared" si="8"/>
        <v>0</v>
      </c>
      <c r="F153" s="80" t="s">
        <v>27</v>
      </c>
      <c r="G153" s="48" t="s">
        <v>335</v>
      </c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ht="13.5" customHeight="1">
      <c r="A154" s="80" t="s">
        <v>336</v>
      </c>
      <c r="B154" s="80">
        <v>1753979.0</v>
      </c>
      <c r="C154" s="81">
        <v>0.398</v>
      </c>
      <c r="D154" s="80">
        <v>0.0</v>
      </c>
      <c r="E154" s="81">
        <f t="shared" si="8"/>
        <v>0</v>
      </c>
      <c r="F154" s="80" t="s">
        <v>27</v>
      </c>
      <c r="G154" s="48" t="s">
        <v>337</v>
      </c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ht="13.5" customHeight="1">
      <c r="A155" s="87" t="s">
        <v>338</v>
      </c>
      <c r="B155" s="87">
        <v>1753983.0</v>
      </c>
      <c r="C155" s="88">
        <v>0.781</v>
      </c>
      <c r="D155" s="87">
        <v>0.0</v>
      </c>
      <c r="E155" s="81">
        <f t="shared" si="8"/>
        <v>0</v>
      </c>
      <c r="F155" s="87" t="s">
        <v>27</v>
      </c>
      <c r="G155" s="89" t="s">
        <v>339</v>
      </c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ht="13.5" customHeight="1">
      <c r="A156" s="80" t="s">
        <v>340</v>
      </c>
      <c r="B156" s="80">
        <v>2217568.0</v>
      </c>
      <c r="C156" s="81">
        <v>0.152</v>
      </c>
      <c r="D156" s="80">
        <v>0.0</v>
      </c>
      <c r="E156" s="81">
        <f t="shared" si="8"/>
        <v>0</v>
      </c>
      <c r="F156" s="80" t="s">
        <v>27</v>
      </c>
      <c r="G156" s="48" t="s">
        <v>341</v>
      </c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ht="13.5" customHeight="1">
      <c r="A157" s="80" t="s">
        <v>342</v>
      </c>
      <c r="B157" s="80">
        <v>2760342.0</v>
      </c>
      <c r="C157" s="81">
        <v>0.105</v>
      </c>
      <c r="D157" s="80">
        <v>0.0</v>
      </c>
      <c r="E157" s="81">
        <f t="shared" si="8"/>
        <v>0</v>
      </c>
      <c r="F157" s="80" t="s">
        <v>27</v>
      </c>
      <c r="G157" s="48" t="s">
        <v>343</v>
      </c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ht="13.5" customHeight="1">
      <c r="A158" s="80" t="s">
        <v>344</v>
      </c>
      <c r="B158" s="80">
        <v>2217571.0</v>
      </c>
      <c r="C158" s="81">
        <v>0.181</v>
      </c>
      <c r="D158" s="80">
        <v>0.0</v>
      </c>
      <c r="E158" s="81">
        <f t="shared" si="8"/>
        <v>0</v>
      </c>
      <c r="F158" s="80" t="s">
        <v>27</v>
      </c>
      <c r="G158" s="48" t="s">
        <v>345</v>
      </c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ht="13.5" customHeight="1">
      <c r="A159" s="80" t="s">
        <v>346</v>
      </c>
      <c r="B159" s="80">
        <v>2479891.0</v>
      </c>
      <c r="C159" s="81">
        <v>0.25</v>
      </c>
      <c r="D159" s="80">
        <v>0.0</v>
      </c>
      <c r="E159" s="81">
        <f t="shared" si="8"/>
        <v>0</v>
      </c>
      <c r="F159" s="80" t="s">
        <v>27</v>
      </c>
      <c r="G159" s="48" t="s">
        <v>347</v>
      </c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ht="13.5" customHeight="1">
      <c r="A160" s="80" t="s">
        <v>348</v>
      </c>
      <c r="B160" s="80">
        <v>2079302.0</v>
      </c>
      <c r="C160" s="81">
        <v>0.441</v>
      </c>
      <c r="D160" s="80">
        <v>0.0</v>
      </c>
      <c r="E160" s="81">
        <f t="shared" si="8"/>
        <v>0</v>
      </c>
      <c r="F160" s="80" t="s">
        <v>27</v>
      </c>
      <c r="G160" s="48" t="s">
        <v>349</v>
      </c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ht="13.5" customHeight="1">
      <c r="A161" s="80" t="s">
        <v>350</v>
      </c>
      <c r="B161" s="80">
        <v>2079308.0</v>
      </c>
      <c r="C161" s="81">
        <v>0.592</v>
      </c>
      <c r="D161" s="80">
        <v>0.0</v>
      </c>
      <c r="E161" s="81">
        <f t="shared" si="8"/>
        <v>0</v>
      </c>
      <c r="F161" s="80" t="s">
        <v>27</v>
      </c>
      <c r="G161" s="48" t="s">
        <v>351</v>
      </c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ht="13.5" customHeight="1">
      <c r="A162" s="80" t="s">
        <v>352</v>
      </c>
      <c r="B162" s="80">
        <v>2508131.0</v>
      </c>
      <c r="C162" s="81">
        <v>0.998</v>
      </c>
      <c r="D162" s="80">
        <v>0.0</v>
      </c>
      <c r="E162" s="81">
        <f t="shared" si="8"/>
        <v>0</v>
      </c>
      <c r="F162" s="80" t="s">
        <v>27</v>
      </c>
      <c r="G162" s="48" t="s">
        <v>353</v>
      </c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ht="20.25" customHeight="1">
      <c r="A163" s="83" t="s">
        <v>51</v>
      </c>
      <c r="B163" s="84"/>
      <c r="C163" s="105"/>
      <c r="D163" s="106"/>
      <c r="E163" s="75"/>
      <c r="F163" s="84"/>
      <c r="G163" s="86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</row>
    <row r="164" ht="20.25" customHeight="1">
      <c r="A164" s="84" t="s">
        <v>52</v>
      </c>
      <c r="B164" s="84">
        <v>1267743.0</v>
      </c>
      <c r="C164" s="75">
        <v>43.05</v>
      </c>
      <c r="D164" s="74">
        <v>0.033</v>
      </c>
      <c r="E164" s="75">
        <f>C164*D164</f>
        <v>1.42065</v>
      </c>
      <c r="F164" s="84" t="s">
        <v>27</v>
      </c>
      <c r="G164" s="86" t="s">
        <v>354</v>
      </c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</row>
    <row r="165" ht="15.75" customHeight="1">
      <c r="A165" s="49"/>
      <c r="B165" s="49"/>
      <c r="C165" s="107"/>
      <c r="D165" s="108"/>
      <c r="E165" s="108"/>
      <c r="F165" s="49"/>
      <c r="G165" s="50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20.25" customHeight="1">
      <c r="A166" s="109"/>
      <c r="B166" s="36"/>
      <c r="C166" s="110" t="s">
        <v>59</v>
      </c>
      <c r="D166" s="7"/>
      <c r="E166" s="111">
        <f>SUM(E7:E165)</f>
        <v>5.19785</v>
      </c>
      <c r="F166" s="36"/>
      <c r="G166" s="53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ht="20.25" customHeight="1">
      <c r="A167" s="36"/>
      <c r="B167" s="36"/>
      <c r="C167" s="110" t="s">
        <v>60</v>
      </c>
      <c r="D167" s="7"/>
      <c r="E167" s="112">
        <f>E166*1.2</f>
        <v>6.23742</v>
      </c>
      <c r="F167" s="113"/>
      <c r="G167" s="113"/>
      <c r="H167" s="113"/>
      <c r="I167" s="114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ht="7.5" customHeight="1">
      <c r="A168" s="115"/>
      <c r="B168" s="115"/>
      <c r="E168" s="116"/>
      <c r="F168" s="117"/>
      <c r="G168" s="117"/>
      <c r="H168" s="117"/>
      <c r="I168" s="118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ht="15.75" customHeight="1">
      <c r="A169" s="119"/>
      <c r="G169" s="120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G170" s="13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16" t="s">
        <v>12</v>
      </c>
      <c r="B171" s="65" t="s">
        <v>355</v>
      </c>
      <c r="C171" s="18"/>
      <c r="D171" s="18"/>
      <c r="E171" s="18"/>
      <c r="F171" s="19"/>
      <c r="G171" s="20" t="s">
        <v>356</v>
      </c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1" t="s">
        <v>15</v>
      </c>
      <c r="B172" s="67"/>
      <c r="C172" s="23"/>
      <c r="D172" s="23"/>
      <c r="E172" s="23"/>
      <c r="F172" s="24"/>
      <c r="G172" s="13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49"/>
      <c r="B173" s="49"/>
      <c r="C173" s="49"/>
      <c r="D173" s="49"/>
      <c r="E173" s="49"/>
      <c r="F173" s="49"/>
      <c r="G173" s="50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121"/>
      <c r="B174" s="121"/>
      <c r="C174" s="121"/>
      <c r="D174" s="121"/>
      <c r="E174" s="121"/>
      <c r="F174" s="121"/>
      <c r="G174" s="122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123"/>
      <c r="B175" s="121"/>
      <c r="C175" s="121"/>
      <c r="D175" s="121"/>
      <c r="E175" s="121"/>
      <c r="F175" s="121"/>
      <c r="G175" s="122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124"/>
      <c r="B176" s="125"/>
      <c r="C176" s="126"/>
      <c r="D176" s="126"/>
      <c r="E176" s="127"/>
      <c r="F176" s="125"/>
      <c r="G176" s="128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</row>
    <row r="177" ht="15.75" customHeight="1">
      <c r="A177" s="130"/>
      <c r="B177" s="130"/>
      <c r="C177" s="131"/>
      <c r="D177" s="130"/>
      <c r="E177" s="131"/>
      <c r="F177" s="130"/>
      <c r="G177" s="128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</row>
    <row r="178" ht="15.75" customHeight="1">
      <c r="A178" s="126"/>
      <c r="B178" s="132"/>
      <c r="C178" s="133"/>
      <c r="D178" s="7"/>
      <c r="E178" s="134"/>
      <c r="F178" s="132"/>
      <c r="G178" s="132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</row>
    <row r="179" ht="15.75" customHeight="1">
      <c r="A179" s="132"/>
      <c r="B179" s="132"/>
      <c r="C179" s="133"/>
      <c r="D179" s="7"/>
      <c r="E179" s="136"/>
      <c r="F179" s="137"/>
      <c r="G179" s="137"/>
      <c r="H179" s="138"/>
      <c r="I179" s="139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</row>
    <row r="180" ht="15.75" customHeight="1">
      <c r="A180" s="121"/>
      <c r="B180" s="121"/>
      <c r="C180" s="121"/>
      <c r="D180" s="121"/>
      <c r="E180" s="121"/>
      <c r="F180" s="121"/>
      <c r="G180" s="122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121"/>
      <c r="B181" s="121"/>
      <c r="C181" s="121"/>
      <c r="D181" s="121"/>
      <c r="E181" s="121"/>
      <c r="F181" s="121"/>
      <c r="G181" s="122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121"/>
      <c r="B182" s="121"/>
      <c r="C182" s="121"/>
      <c r="D182" s="121"/>
      <c r="E182" s="121"/>
      <c r="F182" s="121"/>
      <c r="G182" s="122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4.5" customHeight="1">
      <c r="A183" s="121"/>
      <c r="B183" s="121"/>
      <c r="C183" s="121"/>
      <c r="D183" s="121"/>
      <c r="E183" s="121"/>
      <c r="F183" s="121"/>
      <c r="G183" s="122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23.25" customHeight="1">
      <c r="A184" s="140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</row>
    <row r="186" ht="15.75" customHeight="1">
      <c r="A186" s="141"/>
      <c r="B186" s="141"/>
      <c r="C186" s="141"/>
      <c r="D186" s="141"/>
      <c r="E186" s="141"/>
      <c r="F186" s="141"/>
      <c r="G186" s="141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</row>
    <row r="187" ht="15.75" customHeight="1">
      <c r="A187" s="142"/>
      <c r="B187" s="128"/>
      <c r="C187" s="143"/>
      <c r="D187" s="128"/>
      <c r="E187" s="143"/>
      <c r="F187" s="128"/>
      <c r="G187" s="128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</row>
    <row r="188" ht="15.75" customHeight="1">
      <c r="A188" s="144"/>
      <c r="B188" s="144"/>
      <c r="C188" s="145"/>
      <c r="D188" s="130"/>
      <c r="E188" s="131"/>
      <c r="F188" s="144"/>
      <c r="G188" s="128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</row>
    <row r="189" ht="15.75" customHeight="1">
      <c r="A189" s="124"/>
      <c r="B189" s="125"/>
      <c r="C189" s="127"/>
      <c r="D189" s="125"/>
      <c r="E189" s="127"/>
      <c r="F189" s="125"/>
      <c r="G189" s="12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</row>
    <row r="190" ht="15.75" customHeight="1">
      <c r="A190" s="130"/>
      <c r="B190" s="130"/>
      <c r="C190" s="131"/>
      <c r="D190" s="130"/>
      <c r="E190" s="131"/>
      <c r="F190" s="130"/>
      <c r="G190" s="128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</row>
    <row r="191" ht="15.75" customHeight="1">
      <c r="A191" s="124"/>
      <c r="B191" s="125"/>
      <c r="C191" s="127"/>
      <c r="D191" s="125"/>
      <c r="E191" s="127"/>
      <c r="F191" s="125"/>
      <c r="G191" s="12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</row>
    <row r="192" ht="15.75" customHeight="1">
      <c r="A192" s="130"/>
      <c r="B192" s="130"/>
      <c r="C192" s="131"/>
      <c r="D192" s="130"/>
      <c r="E192" s="131"/>
      <c r="F192" s="130"/>
      <c r="G192" s="146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</row>
    <row r="193" ht="15.75" customHeight="1">
      <c r="A193" s="124"/>
      <c r="B193" s="125"/>
      <c r="C193" s="127"/>
      <c r="D193" s="125"/>
      <c r="E193" s="127"/>
      <c r="F193" s="125"/>
      <c r="G193" s="12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</row>
    <row r="194" ht="15.75" customHeight="1">
      <c r="A194" s="144"/>
      <c r="B194" s="130"/>
      <c r="C194" s="131"/>
      <c r="D194" s="130"/>
      <c r="E194" s="131"/>
      <c r="F194" s="130"/>
      <c r="G194" s="128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</row>
    <row r="195" ht="15.75" customHeight="1">
      <c r="A195" s="144"/>
      <c r="B195" s="130"/>
      <c r="C195" s="131"/>
      <c r="D195" s="130"/>
      <c r="E195" s="131"/>
      <c r="F195" s="130"/>
      <c r="G195" s="128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</row>
    <row r="196" ht="15.75" customHeight="1">
      <c r="A196" s="144"/>
      <c r="B196" s="130"/>
      <c r="C196" s="131"/>
      <c r="D196" s="130"/>
      <c r="E196" s="131"/>
      <c r="F196" s="130"/>
      <c r="G196" s="128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</row>
    <row r="197" ht="15.75" customHeight="1">
      <c r="A197" s="124"/>
      <c r="B197" s="125"/>
      <c r="C197" s="127"/>
      <c r="D197" s="125"/>
      <c r="E197" s="127"/>
      <c r="F197" s="125"/>
      <c r="G197" s="12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</row>
    <row r="198" ht="15.75" customHeight="1">
      <c r="A198" s="144"/>
      <c r="B198" s="144"/>
      <c r="C198" s="145"/>
      <c r="D198" s="144"/>
      <c r="E198" s="131"/>
      <c r="F198" s="144"/>
      <c r="G198" s="128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</row>
    <row r="199" ht="15.75" customHeight="1">
      <c r="A199" s="124"/>
      <c r="B199" s="125"/>
      <c r="C199" s="127"/>
      <c r="D199" s="125"/>
      <c r="E199" s="127"/>
      <c r="F199" s="125"/>
      <c r="G199" s="12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</row>
    <row r="200" ht="15.75" customHeight="1">
      <c r="A200" s="130"/>
      <c r="B200" s="130"/>
      <c r="C200" s="131"/>
      <c r="D200" s="130"/>
      <c r="E200" s="131"/>
      <c r="F200" s="130"/>
      <c r="G200" s="128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</row>
    <row r="201" ht="15.75" customHeight="1">
      <c r="A201" s="124"/>
      <c r="B201" s="125"/>
      <c r="C201" s="127"/>
      <c r="D201" s="125"/>
      <c r="E201" s="127"/>
      <c r="F201" s="125"/>
      <c r="G201" s="12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</row>
    <row r="202" ht="15.75" customHeight="1">
      <c r="A202" s="130"/>
      <c r="B202" s="130"/>
      <c r="C202" s="131"/>
      <c r="D202" s="130"/>
      <c r="E202" s="131"/>
      <c r="F202" s="130"/>
      <c r="G202" s="128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</row>
    <row r="203" ht="15.75" customHeight="1">
      <c r="A203" s="124"/>
      <c r="B203" s="125"/>
      <c r="C203" s="127"/>
      <c r="D203" s="125"/>
      <c r="E203" s="127"/>
      <c r="F203" s="125"/>
      <c r="G203" s="12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</row>
    <row r="204" ht="15.75" customHeight="1">
      <c r="A204" s="130"/>
      <c r="B204" s="130"/>
      <c r="C204" s="131"/>
      <c r="D204" s="130"/>
      <c r="E204" s="131"/>
      <c r="F204" s="130"/>
      <c r="G204" s="128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</row>
    <row r="205" ht="15.75" customHeight="1">
      <c r="A205" s="124"/>
      <c r="B205" s="125"/>
      <c r="C205" s="126"/>
      <c r="D205" s="126"/>
      <c r="E205" s="127"/>
      <c r="F205" s="125"/>
      <c r="G205" s="128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</row>
    <row r="206" ht="15.75" customHeight="1">
      <c r="A206" s="130"/>
      <c r="B206" s="130"/>
      <c r="C206" s="131"/>
      <c r="D206" s="130"/>
      <c r="E206" s="131"/>
      <c r="F206" s="130"/>
      <c r="G206" s="128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</row>
    <row r="207" ht="15.75" customHeight="1">
      <c r="A207" s="126"/>
      <c r="B207" s="132"/>
      <c r="C207" s="133"/>
      <c r="D207" s="7"/>
      <c r="E207" s="134"/>
      <c r="F207" s="132"/>
      <c r="G207" s="132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</row>
    <row r="208" ht="15.75" customHeight="1">
      <c r="A208" s="132"/>
      <c r="B208" s="132"/>
      <c r="C208" s="133"/>
      <c r="D208" s="7"/>
      <c r="E208" s="136"/>
      <c r="F208" s="137"/>
      <c r="G208" s="137"/>
      <c r="H208" s="138"/>
      <c r="I208" s="139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</row>
    <row r="209" ht="15.75" customHeight="1">
      <c r="A209" s="148"/>
      <c r="B209" s="128"/>
      <c r="C209" s="126"/>
      <c r="D209" s="126"/>
      <c r="E209" s="143"/>
      <c r="F209" s="128"/>
      <c r="G209" s="128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</row>
    <row r="210" ht="15.75" customHeight="1">
      <c r="A210" s="149"/>
      <c r="B210" s="149"/>
      <c r="C210" s="150"/>
      <c r="D210" s="149"/>
      <c r="E210" s="150"/>
      <c r="F210" s="149"/>
      <c r="G210" s="128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</row>
    <row r="211" ht="15.75" customHeight="1">
      <c r="A211" s="126"/>
      <c r="B211" s="126"/>
      <c r="C211" s="151"/>
      <c r="D211" s="7"/>
      <c r="E211" s="152"/>
      <c r="F211" s="126"/>
      <c r="G211" s="126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</row>
    <row r="212" ht="15.75" customHeight="1">
      <c r="A212" s="126"/>
      <c r="B212" s="126"/>
      <c r="C212" s="151"/>
      <c r="D212" s="7"/>
      <c r="E212" s="153"/>
      <c r="F212" s="154"/>
      <c r="G212" s="154"/>
      <c r="H212" s="155"/>
      <c r="I212" s="156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</row>
    <row r="213" ht="15.75" customHeight="1">
      <c r="A213" s="121"/>
      <c r="B213" s="121"/>
      <c r="C213" s="121"/>
      <c r="D213" s="121"/>
      <c r="E213" s="121"/>
      <c r="F213" s="121"/>
      <c r="G213" s="157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121"/>
      <c r="B214" s="121"/>
      <c r="C214" s="121"/>
      <c r="D214" s="121"/>
      <c r="E214" s="121"/>
      <c r="F214" s="121"/>
      <c r="G214" s="122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49"/>
      <c r="B215" s="49"/>
      <c r="C215" s="49"/>
      <c r="D215" s="49"/>
      <c r="E215" s="49"/>
      <c r="F215" s="49"/>
      <c r="G215" s="50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49"/>
      <c r="B216" s="49"/>
      <c r="C216" s="49"/>
      <c r="D216" s="49"/>
      <c r="E216" s="49"/>
      <c r="F216" s="49"/>
      <c r="G216" s="50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23.25" customHeight="1">
      <c r="A217" s="158" t="s">
        <v>0</v>
      </c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</row>
    <row r="218" ht="15.75" customHeight="1">
      <c r="A218" s="49"/>
      <c r="B218" s="49"/>
      <c r="C218" s="49"/>
      <c r="D218" s="49"/>
      <c r="E218" s="49"/>
      <c r="F218" s="49"/>
      <c r="G218" s="50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159" t="s">
        <v>18</v>
      </c>
      <c r="B219" s="159" t="s">
        <v>19</v>
      </c>
      <c r="C219" s="159" t="s">
        <v>20</v>
      </c>
      <c r="D219" s="159" t="s">
        <v>21</v>
      </c>
      <c r="E219" s="159" t="s">
        <v>22</v>
      </c>
      <c r="F219" s="159" t="s">
        <v>23</v>
      </c>
      <c r="G219" s="159" t="s">
        <v>24</v>
      </c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</row>
    <row r="220" ht="15.75" customHeight="1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</row>
    <row r="221" ht="15.75" customHeight="1">
      <c r="A221" s="160" t="s">
        <v>28</v>
      </c>
      <c r="B221" s="161"/>
      <c r="C221" s="162"/>
      <c r="D221" s="161"/>
      <c r="E221" s="162"/>
      <c r="F221" s="161"/>
      <c r="G221" s="161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</row>
    <row r="222" ht="15.75" customHeight="1">
      <c r="A222" s="163" t="s">
        <v>29</v>
      </c>
      <c r="B222" s="163">
        <v>2668408.0</v>
      </c>
      <c r="C222" s="164">
        <v>0.145</v>
      </c>
      <c r="D222" s="165">
        <v>1.0</v>
      </c>
      <c r="E222" s="166">
        <f>C222*D222</f>
        <v>0.145</v>
      </c>
      <c r="F222" s="163" t="s">
        <v>27</v>
      </c>
      <c r="G222" s="161" t="s">
        <v>77</v>
      </c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</row>
    <row r="223" ht="15.75" customHeight="1">
      <c r="A223" s="167" t="s">
        <v>30</v>
      </c>
      <c r="B223" s="168"/>
      <c r="C223" s="169"/>
      <c r="D223" s="168"/>
      <c r="E223" s="169"/>
      <c r="F223" s="168"/>
      <c r="G223" s="168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</row>
    <row r="224" ht="15.75" customHeight="1">
      <c r="A224" s="165" t="s">
        <v>31</v>
      </c>
      <c r="B224" s="165">
        <v>1292245.0</v>
      </c>
      <c r="C224" s="166">
        <v>0.34</v>
      </c>
      <c r="D224" s="165">
        <v>1.0</v>
      </c>
      <c r="E224" s="166">
        <f>C224*D224</f>
        <v>0.34</v>
      </c>
      <c r="F224" s="165" t="s">
        <v>27</v>
      </c>
      <c r="G224" s="161" t="s">
        <v>88</v>
      </c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</row>
    <row r="225" ht="15.75" customHeight="1">
      <c r="A225" s="167" t="s">
        <v>32</v>
      </c>
      <c r="B225" s="168"/>
      <c r="C225" s="169"/>
      <c r="D225" s="168"/>
      <c r="E225" s="169"/>
      <c r="F225" s="168"/>
      <c r="G225" s="168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</row>
    <row r="226" ht="15.75" customHeight="1">
      <c r="A226" s="165" t="s">
        <v>89</v>
      </c>
      <c r="B226" s="170">
        <v>3124181.0</v>
      </c>
      <c r="C226" s="166">
        <v>1.18</v>
      </c>
      <c r="D226" s="165">
        <v>1.0</v>
      </c>
      <c r="E226" s="166">
        <f>C226*D226</f>
        <v>1.18</v>
      </c>
      <c r="F226" s="165" t="s">
        <v>27</v>
      </c>
      <c r="G226" s="147" t="s">
        <v>90</v>
      </c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</row>
    <row r="227" ht="15.75" customHeight="1">
      <c r="A227" s="167" t="s">
        <v>56</v>
      </c>
      <c r="B227" s="168"/>
      <c r="C227" s="169"/>
      <c r="D227" s="168"/>
      <c r="E227" s="169"/>
      <c r="F227" s="168"/>
      <c r="G227" s="168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</row>
    <row r="228" ht="15.75" customHeight="1">
      <c r="A228" s="165" t="s">
        <v>57</v>
      </c>
      <c r="B228" s="165" t="s">
        <v>94</v>
      </c>
      <c r="C228" s="166">
        <v>0.5</v>
      </c>
      <c r="D228" s="165">
        <v>0.02</v>
      </c>
      <c r="E228" s="166">
        <f>C228*D228</f>
        <v>0.01</v>
      </c>
      <c r="F228" s="165" t="s">
        <v>58</v>
      </c>
      <c r="G228" s="171" t="s">
        <v>95</v>
      </c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</row>
    <row r="229" ht="15.75" customHeight="1">
      <c r="A229" s="167" t="s">
        <v>34</v>
      </c>
      <c r="B229" s="168"/>
      <c r="C229" s="169"/>
      <c r="D229" s="168"/>
      <c r="E229" s="169"/>
      <c r="F229" s="168"/>
      <c r="G229" s="168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</row>
    <row r="230" ht="15.75" customHeight="1">
      <c r="A230" s="163" t="s">
        <v>35</v>
      </c>
      <c r="B230" s="165">
        <v>1045472.0</v>
      </c>
      <c r="C230" s="166">
        <v>0.306</v>
      </c>
      <c r="D230" s="165">
        <v>1.0</v>
      </c>
      <c r="E230" s="166">
        <f t="shared" ref="E230:E232" si="9">C230*D230</f>
        <v>0.306</v>
      </c>
      <c r="F230" s="165" t="s">
        <v>27</v>
      </c>
      <c r="G230" s="161" t="s">
        <v>96</v>
      </c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</row>
    <row r="231" ht="15.75" customHeight="1">
      <c r="A231" s="163" t="s">
        <v>36</v>
      </c>
      <c r="B231" s="165">
        <v>1735247.0</v>
      </c>
      <c r="C231" s="166">
        <v>0.497</v>
      </c>
      <c r="D231" s="165">
        <v>1.0</v>
      </c>
      <c r="E231" s="166">
        <f t="shared" si="9"/>
        <v>0.497</v>
      </c>
      <c r="F231" s="165" t="s">
        <v>27</v>
      </c>
      <c r="G231" s="161" t="s">
        <v>97</v>
      </c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  <c r="AA231" s="172"/>
    </row>
    <row r="232" ht="15.75" customHeight="1">
      <c r="A232" s="163" t="s">
        <v>37</v>
      </c>
      <c r="B232" s="165">
        <v>3130195.0</v>
      </c>
      <c r="C232" s="166">
        <v>0.13</v>
      </c>
      <c r="D232" s="165">
        <v>1.0</v>
      </c>
      <c r="E232" s="166">
        <f t="shared" si="9"/>
        <v>0.13</v>
      </c>
      <c r="F232" s="165" t="s">
        <v>27</v>
      </c>
      <c r="G232" s="161" t="s">
        <v>98</v>
      </c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  <c r="AA232" s="172"/>
    </row>
    <row r="233" ht="15.75" customHeight="1">
      <c r="A233" s="167" t="s">
        <v>38</v>
      </c>
      <c r="B233" s="168"/>
      <c r="C233" s="169"/>
      <c r="D233" s="168"/>
      <c r="E233" s="169"/>
      <c r="F233" s="168"/>
      <c r="G233" s="168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</row>
    <row r="234" ht="15.75" customHeight="1">
      <c r="A234" s="163" t="s">
        <v>39</v>
      </c>
      <c r="B234" s="163">
        <v>2435145.0</v>
      </c>
      <c r="C234" s="164">
        <v>0.49</v>
      </c>
      <c r="D234" s="163">
        <v>1.0</v>
      </c>
      <c r="E234" s="166">
        <f>C234*D234</f>
        <v>0.49</v>
      </c>
      <c r="F234" s="163" t="s">
        <v>27</v>
      </c>
      <c r="G234" s="161" t="s">
        <v>106</v>
      </c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</row>
    <row r="235" ht="15.75" customHeight="1">
      <c r="A235" s="167" t="s">
        <v>40</v>
      </c>
      <c r="B235" s="168"/>
      <c r="C235" s="169"/>
      <c r="D235" s="168"/>
      <c r="E235" s="169"/>
      <c r="F235" s="168"/>
      <c r="G235" s="168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</row>
    <row r="236" ht="15.75" customHeight="1">
      <c r="A236" s="165" t="s">
        <v>41</v>
      </c>
      <c r="B236" s="165">
        <v>3122722.0</v>
      </c>
      <c r="C236" s="166">
        <v>0.391</v>
      </c>
      <c r="D236" s="165">
        <v>1.0</v>
      </c>
      <c r="E236" s="166">
        <f>C236*D236</f>
        <v>0.391</v>
      </c>
      <c r="F236" s="165" t="s">
        <v>27</v>
      </c>
      <c r="G236" s="161" t="s">
        <v>112</v>
      </c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</row>
    <row r="237" ht="15.75" customHeight="1">
      <c r="A237" s="167" t="s">
        <v>42</v>
      </c>
      <c r="B237" s="168"/>
      <c r="C237" s="169"/>
      <c r="D237" s="168"/>
      <c r="E237" s="169"/>
      <c r="F237" s="168"/>
      <c r="G237" s="168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</row>
    <row r="238" ht="15.75" customHeight="1">
      <c r="A238" s="165" t="s">
        <v>116</v>
      </c>
      <c r="B238" s="165">
        <v>9339094.0</v>
      </c>
      <c r="C238" s="166">
        <v>0.0272</v>
      </c>
      <c r="D238" s="165">
        <v>6.0</v>
      </c>
      <c r="E238" s="166">
        <f>C238*D238</f>
        <v>0.1632</v>
      </c>
      <c r="F238" s="165" t="s">
        <v>27</v>
      </c>
      <c r="G238" s="161" t="s">
        <v>117</v>
      </c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</row>
    <row r="239" ht="15.75" customHeight="1">
      <c r="A239" s="167" t="s">
        <v>51</v>
      </c>
      <c r="B239" s="168"/>
      <c r="C239" s="147"/>
      <c r="D239" s="147"/>
      <c r="E239" s="169"/>
      <c r="F239" s="168"/>
      <c r="G239" s="161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</row>
    <row r="240" ht="15.75" customHeight="1">
      <c r="A240" s="165" t="s">
        <v>52</v>
      </c>
      <c r="B240" s="165">
        <v>1267743.0</v>
      </c>
      <c r="C240" s="166">
        <v>43.05</v>
      </c>
      <c r="D240" s="165">
        <v>0.033</v>
      </c>
      <c r="E240" s="166">
        <f>C240*D240</f>
        <v>1.42065</v>
      </c>
      <c r="F240" s="165" t="s">
        <v>27</v>
      </c>
      <c r="G240" s="161" t="s">
        <v>354</v>
      </c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</row>
    <row r="241" ht="15.75" customHeight="1">
      <c r="A241" s="147"/>
      <c r="B241" s="135"/>
      <c r="C241" s="173" t="s">
        <v>59</v>
      </c>
      <c r="D241" s="7"/>
      <c r="E241" s="174">
        <f>SUM(E219:E240)</f>
        <v>5.07285</v>
      </c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</row>
    <row r="242" ht="15.75" customHeight="1">
      <c r="A242" s="135"/>
      <c r="B242" s="135"/>
      <c r="C242" s="173" t="s">
        <v>60</v>
      </c>
      <c r="D242" s="7"/>
      <c r="E242" s="175">
        <f>E241*1.2</f>
        <v>6.08742</v>
      </c>
      <c r="F242" s="138"/>
      <c r="G242" s="138"/>
      <c r="H242" s="138"/>
      <c r="I242" s="139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</row>
    <row r="243" ht="15.75" customHeight="1">
      <c r="A243" s="49"/>
      <c r="B243" s="49"/>
      <c r="C243" s="49"/>
      <c r="D243" s="49"/>
      <c r="E243" s="49"/>
      <c r="F243" s="49"/>
      <c r="G243" s="50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5.75" customHeight="1">
      <c r="A244" s="49"/>
      <c r="B244" s="49"/>
      <c r="C244" s="49"/>
      <c r="D244" s="49"/>
      <c r="E244" s="49"/>
      <c r="F244" s="49"/>
      <c r="G244" s="50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5.75" customHeight="1">
      <c r="A245" s="49"/>
      <c r="B245" s="49"/>
      <c r="C245" s="49"/>
      <c r="D245" s="49"/>
      <c r="E245" s="49"/>
      <c r="F245" s="49"/>
      <c r="G245" s="50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5.75" customHeight="1">
      <c r="A246" s="49"/>
      <c r="B246" s="49"/>
      <c r="C246" s="49"/>
      <c r="D246" s="49"/>
      <c r="E246" s="49"/>
      <c r="F246" s="49"/>
      <c r="G246" s="50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5.75" customHeight="1">
      <c r="A247" s="49"/>
      <c r="B247" s="49"/>
      <c r="C247" s="49"/>
      <c r="D247" s="49"/>
      <c r="E247" s="49"/>
      <c r="F247" s="49"/>
      <c r="G247" s="50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5.75" customHeight="1">
      <c r="A248" s="49"/>
      <c r="B248" s="49"/>
      <c r="C248" s="49"/>
      <c r="D248" s="49"/>
      <c r="E248" s="49"/>
      <c r="F248" s="49"/>
      <c r="G248" s="50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5.75" customHeight="1">
      <c r="A249" s="49"/>
      <c r="B249" s="49"/>
      <c r="C249" s="49"/>
      <c r="D249" s="49"/>
      <c r="E249" s="49"/>
      <c r="F249" s="49"/>
      <c r="G249" s="50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5.75" customHeight="1">
      <c r="A250" s="49"/>
      <c r="B250" s="49"/>
      <c r="C250" s="49"/>
      <c r="D250" s="49"/>
      <c r="E250" s="49"/>
      <c r="F250" s="49"/>
      <c r="G250" s="50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5.75" customHeight="1">
      <c r="A251" s="49"/>
      <c r="B251" s="49"/>
      <c r="C251" s="49"/>
      <c r="D251" s="49"/>
      <c r="E251" s="49"/>
      <c r="F251" s="49"/>
      <c r="G251" s="50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5.75" customHeight="1">
      <c r="A252" s="49"/>
      <c r="B252" s="49"/>
      <c r="C252" s="49"/>
      <c r="D252" s="49"/>
      <c r="E252" s="49"/>
      <c r="F252" s="49"/>
      <c r="G252" s="50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5.75" customHeight="1">
      <c r="A253" s="49"/>
      <c r="B253" s="49"/>
      <c r="C253" s="49"/>
      <c r="D253" s="49"/>
      <c r="E253" s="49"/>
      <c r="F253" s="49"/>
      <c r="G253" s="50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5.75" customHeight="1">
      <c r="A254" s="49"/>
      <c r="B254" s="49"/>
      <c r="C254" s="49"/>
      <c r="D254" s="49"/>
      <c r="E254" s="49"/>
      <c r="F254" s="49"/>
      <c r="G254" s="50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5.75" customHeight="1">
      <c r="A255" s="49"/>
      <c r="B255" s="49"/>
      <c r="C255" s="49"/>
      <c r="D255" s="49"/>
      <c r="E255" s="49"/>
      <c r="F255" s="49"/>
      <c r="G255" s="50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5.75" customHeight="1">
      <c r="A256" s="49"/>
      <c r="B256" s="49"/>
      <c r="C256" s="49"/>
      <c r="D256" s="49"/>
      <c r="E256" s="49"/>
      <c r="F256" s="49"/>
      <c r="G256" s="50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5.75" customHeight="1">
      <c r="A257" s="49"/>
      <c r="B257" s="49"/>
      <c r="C257" s="49"/>
      <c r="D257" s="49"/>
      <c r="E257" s="49"/>
      <c r="F257" s="49"/>
      <c r="G257" s="50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5.75" customHeight="1">
      <c r="A258" s="49"/>
      <c r="B258" s="49"/>
      <c r="C258" s="49"/>
      <c r="D258" s="49"/>
      <c r="E258" s="49"/>
      <c r="F258" s="49"/>
      <c r="G258" s="50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5.75" customHeight="1">
      <c r="A259" s="49"/>
      <c r="B259" s="49"/>
      <c r="C259" s="49"/>
      <c r="D259" s="49"/>
      <c r="E259" s="49"/>
      <c r="F259" s="49"/>
      <c r="G259" s="50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5.75" customHeight="1">
      <c r="A260" s="49"/>
      <c r="B260" s="49"/>
      <c r="C260" s="49"/>
      <c r="D260" s="49"/>
      <c r="E260" s="49"/>
      <c r="F260" s="49"/>
      <c r="G260" s="50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5.75" customHeight="1">
      <c r="A261" s="49"/>
      <c r="B261" s="49"/>
      <c r="C261" s="49"/>
      <c r="D261" s="49"/>
      <c r="E261" s="49"/>
      <c r="F261" s="49"/>
      <c r="G261" s="50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5.75" customHeight="1">
      <c r="A262" s="49"/>
      <c r="B262" s="49"/>
      <c r="C262" s="49"/>
      <c r="D262" s="49"/>
      <c r="E262" s="49"/>
      <c r="F262" s="49"/>
      <c r="G262" s="50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5.75" customHeight="1">
      <c r="A263" s="49"/>
      <c r="B263" s="49"/>
      <c r="C263" s="49"/>
      <c r="D263" s="49"/>
      <c r="E263" s="49"/>
      <c r="F263" s="49"/>
      <c r="G263" s="50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5.75" customHeight="1">
      <c r="A264" s="49"/>
      <c r="B264" s="49"/>
      <c r="C264" s="49"/>
      <c r="D264" s="49"/>
      <c r="E264" s="49"/>
      <c r="F264" s="49"/>
      <c r="G264" s="50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5.75" customHeight="1">
      <c r="A265" s="49"/>
      <c r="B265" s="49"/>
      <c r="C265" s="49"/>
      <c r="D265" s="49"/>
      <c r="E265" s="49"/>
      <c r="F265" s="49"/>
      <c r="G265" s="50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5.75" customHeight="1">
      <c r="A266" s="49"/>
      <c r="B266" s="49"/>
      <c r="C266" s="49"/>
      <c r="D266" s="49"/>
      <c r="E266" s="49"/>
      <c r="F266" s="49"/>
      <c r="G266" s="50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5.75" customHeight="1">
      <c r="A267" s="49"/>
      <c r="B267" s="49"/>
      <c r="C267" s="49"/>
      <c r="D267" s="49"/>
      <c r="E267" s="49"/>
      <c r="F267" s="49"/>
      <c r="G267" s="50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5.75" customHeight="1">
      <c r="A268" s="49"/>
      <c r="B268" s="49"/>
      <c r="C268" s="49"/>
      <c r="D268" s="49"/>
      <c r="E268" s="49"/>
      <c r="F268" s="49"/>
      <c r="G268" s="50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5.75" customHeight="1">
      <c r="A269" s="49"/>
      <c r="B269" s="49"/>
      <c r="C269" s="49"/>
      <c r="D269" s="49"/>
      <c r="E269" s="49"/>
      <c r="F269" s="49"/>
      <c r="G269" s="50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5.75" customHeight="1">
      <c r="A270" s="49"/>
      <c r="B270" s="49"/>
      <c r="C270" s="49"/>
      <c r="D270" s="49"/>
      <c r="E270" s="49"/>
      <c r="F270" s="49"/>
      <c r="G270" s="50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5.75" customHeight="1">
      <c r="A271" s="49"/>
      <c r="B271" s="49"/>
      <c r="C271" s="49"/>
      <c r="D271" s="49"/>
      <c r="E271" s="49"/>
      <c r="F271" s="49"/>
      <c r="G271" s="50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5.75" customHeight="1">
      <c r="A272" s="49"/>
      <c r="B272" s="49"/>
      <c r="C272" s="49"/>
      <c r="D272" s="49"/>
      <c r="E272" s="49"/>
      <c r="F272" s="49"/>
      <c r="G272" s="50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5.75" customHeight="1">
      <c r="A273" s="49"/>
      <c r="B273" s="49"/>
      <c r="C273" s="49"/>
      <c r="D273" s="49"/>
      <c r="E273" s="49"/>
      <c r="F273" s="49"/>
      <c r="G273" s="50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5.75" customHeight="1">
      <c r="A274" s="49"/>
      <c r="B274" s="49"/>
      <c r="C274" s="49"/>
      <c r="D274" s="49"/>
      <c r="E274" s="49"/>
      <c r="F274" s="49"/>
      <c r="G274" s="50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5.75" customHeight="1">
      <c r="A275" s="49"/>
      <c r="B275" s="49"/>
      <c r="C275" s="49"/>
      <c r="D275" s="49"/>
      <c r="E275" s="49"/>
      <c r="F275" s="49"/>
      <c r="G275" s="50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5.75" customHeight="1">
      <c r="A276" s="49"/>
      <c r="B276" s="49"/>
      <c r="C276" s="49"/>
      <c r="D276" s="49"/>
      <c r="E276" s="49"/>
      <c r="F276" s="49"/>
      <c r="G276" s="50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5.75" customHeight="1">
      <c r="A277" s="49"/>
      <c r="B277" s="49"/>
      <c r="C277" s="49"/>
      <c r="D277" s="49"/>
      <c r="E277" s="49"/>
      <c r="F277" s="49"/>
      <c r="G277" s="50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5.75" customHeight="1">
      <c r="A278" s="49"/>
      <c r="B278" s="49"/>
      <c r="C278" s="49"/>
      <c r="D278" s="49"/>
      <c r="E278" s="49"/>
      <c r="F278" s="49"/>
      <c r="G278" s="50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5.75" customHeight="1">
      <c r="A279" s="49"/>
      <c r="B279" s="49"/>
      <c r="C279" s="49"/>
      <c r="D279" s="49"/>
      <c r="E279" s="49"/>
      <c r="F279" s="49"/>
      <c r="G279" s="50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5.75" customHeight="1">
      <c r="A280" s="49"/>
      <c r="B280" s="49"/>
      <c r="C280" s="49"/>
      <c r="D280" s="49"/>
      <c r="E280" s="49"/>
      <c r="F280" s="49"/>
      <c r="G280" s="50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5.75" customHeight="1">
      <c r="A281" s="49"/>
      <c r="B281" s="49"/>
      <c r="C281" s="49"/>
      <c r="D281" s="49"/>
      <c r="E281" s="49"/>
      <c r="F281" s="49"/>
      <c r="G281" s="50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5.75" customHeight="1">
      <c r="A282" s="49"/>
      <c r="B282" s="49"/>
      <c r="C282" s="49"/>
      <c r="D282" s="49"/>
      <c r="E282" s="49"/>
      <c r="F282" s="49"/>
      <c r="G282" s="50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5.75" customHeight="1">
      <c r="A283" s="49"/>
      <c r="B283" s="49"/>
      <c r="C283" s="49"/>
      <c r="D283" s="49"/>
      <c r="E283" s="49"/>
      <c r="F283" s="49"/>
      <c r="G283" s="50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5.75" customHeight="1">
      <c r="A284" s="49"/>
      <c r="B284" s="49"/>
      <c r="C284" s="49"/>
      <c r="D284" s="49"/>
      <c r="E284" s="49"/>
      <c r="F284" s="49"/>
      <c r="G284" s="50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5.75" customHeight="1">
      <c r="A285" s="49"/>
      <c r="B285" s="49"/>
      <c r="C285" s="49"/>
      <c r="D285" s="49"/>
      <c r="E285" s="49"/>
      <c r="F285" s="49"/>
      <c r="G285" s="50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5.75" customHeight="1">
      <c r="A286" s="49"/>
      <c r="B286" s="49"/>
      <c r="C286" s="49"/>
      <c r="D286" s="49"/>
      <c r="E286" s="49"/>
      <c r="F286" s="49"/>
      <c r="G286" s="50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5.75" customHeight="1">
      <c r="A287" s="49"/>
      <c r="B287" s="49"/>
      <c r="C287" s="49"/>
      <c r="D287" s="49"/>
      <c r="E287" s="49"/>
      <c r="F287" s="49"/>
      <c r="G287" s="50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5.75" customHeight="1">
      <c r="A288" s="49"/>
      <c r="B288" s="49"/>
      <c r="C288" s="49"/>
      <c r="D288" s="49"/>
      <c r="E288" s="49"/>
      <c r="F288" s="49"/>
      <c r="G288" s="50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5.75" customHeight="1">
      <c r="A289" s="49"/>
      <c r="B289" s="49"/>
      <c r="C289" s="49"/>
      <c r="D289" s="49"/>
      <c r="E289" s="49"/>
      <c r="F289" s="49"/>
      <c r="G289" s="50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5.75" customHeight="1">
      <c r="A290" s="49"/>
      <c r="B290" s="49"/>
      <c r="C290" s="49"/>
      <c r="D290" s="49"/>
      <c r="E290" s="49"/>
      <c r="F290" s="49"/>
      <c r="G290" s="50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5.75" customHeight="1">
      <c r="A291" s="49"/>
      <c r="B291" s="49"/>
      <c r="C291" s="49"/>
      <c r="D291" s="49"/>
      <c r="E291" s="49"/>
      <c r="F291" s="49"/>
      <c r="G291" s="50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5.75" customHeight="1">
      <c r="A292" s="49"/>
      <c r="B292" s="49"/>
      <c r="C292" s="49"/>
      <c r="D292" s="49"/>
      <c r="E292" s="49"/>
      <c r="F292" s="49"/>
      <c r="G292" s="50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5.75" customHeight="1">
      <c r="A293" s="49"/>
      <c r="B293" s="49"/>
      <c r="C293" s="49"/>
      <c r="D293" s="49"/>
      <c r="E293" s="49"/>
      <c r="F293" s="49"/>
      <c r="G293" s="50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5.75" customHeight="1">
      <c r="A294" s="49"/>
      <c r="B294" s="49"/>
      <c r="C294" s="49"/>
      <c r="D294" s="49"/>
      <c r="E294" s="49"/>
      <c r="F294" s="49"/>
      <c r="G294" s="50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5.75" customHeight="1">
      <c r="A295" s="49"/>
      <c r="B295" s="49"/>
      <c r="C295" s="49"/>
      <c r="D295" s="49"/>
      <c r="E295" s="49"/>
      <c r="F295" s="49"/>
      <c r="G295" s="50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5.75" customHeight="1">
      <c r="A296" s="49"/>
      <c r="B296" s="49"/>
      <c r="C296" s="49"/>
      <c r="D296" s="49"/>
      <c r="E296" s="49"/>
      <c r="F296" s="49"/>
      <c r="G296" s="50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5.75" customHeight="1">
      <c r="A297" s="49"/>
      <c r="B297" s="49"/>
      <c r="C297" s="49"/>
      <c r="D297" s="49"/>
      <c r="E297" s="49"/>
      <c r="F297" s="49"/>
      <c r="G297" s="50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5.75" customHeight="1">
      <c r="A298" s="49"/>
      <c r="B298" s="49"/>
      <c r="C298" s="49"/>
      <c r="D298" s="49"/>
      <c r="E298" s="49"/>
      <c r="F298" s="49"/>
      <c r="G298" s="50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5.75" customHeight="1">
      <c r="A299" s="49"/>
      <c r="B299" s="49"/>
      <c r="C299" s="49"/>
      <c r="D299" s="49"/>
      <c r="E299" s="49"/>
      <c r="F299" s="49"/>
      <c r="G299" s="50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5.75" customHeight="1">
      <c r="A300" s="49"/>
      <c r="B300" s="49"/>
      <c r="C300" s="49"/>
      <c r="D300" s="49"/>
      <c r="E300" s="49"/>
      <c r="F300" s="49"/>
      <c r="G300" s="50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5.75" customHeight="1">
      <c r="A301" s="49"/>
      <c r="B301" s="49"/>
      <c r="C301" s="49"/>
      <c r="D301" s="49"/>
      <c r="E301" s="49"/>
      <c r="F301" s="49"/>
      <c r="G301" s="50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5.75" customHeight="1">
      <c r="A302" s="49"/>
      <c r="B302" s="49"/>
      <c r="C302" s="49"/>
      <c r="D302" s="49"/>
      <c r="E302" s="49"/>
      <c r="F302" s="49"/>
      <c r="G302" s="50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5.75" customHeight="1">
      <c r="A303" s="49"/>
      <c r="B303" s="49"/>
      <c r="C303" s="49"/>
      <c r="D303" s="49"/>
      <c r="E303" s="49"/>
      <c r="F303" s="49"/>
      <c r="G303" s="50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5.75" customHeight="1">
      <c r="A304" s="49"/>
      <c r="B304" s="49"/>
      <c r="C304" s="49"/>
      <c r="D304" s="49"/>
      <c r="E304" s="49"/>
      <c r="F304" s="49"/>
      <c r="G304" s="50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5.75" customHeight="1">
      <c r="A305" s="49"/>
      <c r="B305" s="49"/>
      <c r="C305" s="49"/>
      <c r="D305" s="49"/>
      <c r="E305" s="49"/>
      <c r="F305" s="49"/>
      <c r="G305" s="50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5.75" customHeight="1">
      <c r="A306" s="49"/>
      <c r="B306" s="49"/>
      <c r="C306" s="49"/>
      <c r="D306" s="49"/>
      <c r="E306" s="49"/>
      <c r="F306" s="49"/>
      <c r="G306" s="50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5.75" customHeight="1">
      <c r="A307" s="49"/>
      <c r="B307" s="49"/>
      <c r="C307" s="49"/>
      <c r="D307" s="49"/>
      <c r="E307" s="49"/>
      <c r="F307" s="49"/>
      <c r="G307" s="50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5.75" customHeight="1">
      <c r="A308" s="49"/>
      <c r="B308" s="49"/>
      <c r="C308" s="49"/>
      <c r="D308" s="49"/>
      <c r="E308" s="49"/>
      <c r="F308" s="49"/>
      <c r="G308" s="50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5.75" customHeight="1">
      <c r="A309" s="49"/>
      <c r="B309" s="49"/>
      <c r="C309" s="49"/>
      <c r="D309" s="49"/>
      <c r="E309" s="49"/>
      <c r="F309" s="49"/>
      <c r="G309" s="50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5.75" customHeight="1">
      <c r="A310" s="49"/>
      <c r="B310" s="49"/>
      <c r="C310" s="49"/>
      <c r="D310" s="49"/>
      <c r="E310" s="49"/>
      <c r="F310" s="49"/>
      <c r="G310" s="50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5.75" customHeight="1">
      <c r="A311" s="49"/>
      <c r="B311" s="49"/>
      <c r="C311" s="49"/>
      <c r="D311" s="49"/>
      <c r="E311" s="49"/>
      <c r="F311" s="49"/>
      <c r="G311" s="50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5.75" customHeight="1">
      <c r="A312" s="49"/>
      <c r="B312" s="49"/>
      <c r="C312" s="49"/>
      <c r="D312" s="49"/>
      <c r="E312" s="49"/>
      <c r="F312" s="49"/>
      <c r="G312" s="50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5.75" customHeight="1">
      <c r="A313" s="49"/>
      <c r="B313" s="49"/>
      <c r="C313" s="49"/>
      <c r="D313" s="49"/>
      <c r="E313" s="49"/>
      <c r="F313" s="49"/>
      <c r="G313" s="50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5.75" customHeight="1">
      <c r="A314" s="49"/>
      <c r="B314" s="49"/>
      <c r="C314" s="49"/>
      <c r="D314" s="49"/>
      <c r="E314" s="49"/>
      <c r="F314" s="49"/>
      <c r="G314" s="50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5.75" customHeight="1">
      <c r="A315" s="49"/>
      <c r="B315" s="49"/>
      <c r="C315" s="49"/>
      <c r="D315" s="49"/>
      <c r="E315" s="49"/>
      <c r="F315" s="49"/>
      <c r="G315" s="50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5.75" customHeight="1">
      <c r="A316" s="49"/>
      <c r="B316" s="49"/>
      <c r="C316" s="49"/>
      <c r="D316" s="49"/>
      <c r="E316" s="49"/>
      <c r="F316" s="49"/>
      <c r="G316" s="50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5.75" customHeight="1">
      <c r="A317" s="49"/>
      <c r="B317" s="49"/>
      <c r="C317" s="49"/>
      <c r="D317" s="49"/>
      <c r="E317" s="49"/>
      <c r="F317" s="49"/>
      <c r="G317" s="50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5.75" customHeight="1">
      <c r="A318" s="49"/>
      <c r="B318" s="49"/>
      <c r="C318" s="49"/>
      <c r="D318" s="49"/>
      <c r="E318" s="49"/>
      <c r="F318" s="49"/>
      <c r="G318" s="50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5.75" customHeight="1">
      <c r="A319" s="49"/>
      <c r="B319" s="49"/>
      <c r="C319" s="49"/>
      <c r="D319" s="49"/>
      <c r="E319" s="49"/>
      <c r="F319" s="49"/>
      <c r="G319" s="50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5.75" customHeight="1">
      <c r="A320" s="49"/>
      <c r="B320" s="49"/>
      <c r="C320" s="49"/>
      <c r="D320" s="49"/>
      <c r="E320" s="49"/>
      <c r="F320" s="49"/>
      <c r="G320" s="50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5.75" customHeight="1">
      <c r="A321" s="49"/>
      <c r="B321" s="49"/>
      <c r="C321" s="49"/>
      <c r="D321" s="49"/>
      <c r="E321" s="49"/>
      <c r="F321" s="49"/>
      <c r="G321" s="50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5.75" customHeight="1">
      <c r="A322" s="49"/>
      <c r="B322" s="49"/>
      <c r="C322" s="49"/>
      <c r="D322" s="49"/>
      <c r="E322" s="49"/>
      <c r="F322" s="49"/>
      <c r="G322" s="50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5.75" customHeight="1">
      <c r="A323" s="49"/>
      <c r="B323" s="49"/>
      <c r="C323" s="49"/>
      <c r="D323" s="49"/>
      <c r="E323" s="49"/>
      <c r="F323" s="49"/>
      <c r="G323" s="50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5.75" customHeight="1">
      <c r="A324" s="49"/>
      <c r="B324" s="49"/>
      <c r="C324" s="49"/>
      <c r="D324" s="49"/>
      <c r="E324" s="49"/>
      <c r="F324" s="49"/>
      <c r="G324" s="50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5.75" customHeight="1">
      <c r="A325" s="49"/>
      <c r="B325" s="49"/>
      <c r="C325" s="49"/>
      <c r="D325" s="49"/>
      <c r="E325" s="49"/>
      <c r="F325" s="49"/>
      <c r="G325" s="50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5.75" customHeight="1">
      <c r="A326" s="49"/>
      <c r="B326" s="49"/>
      <c r="C326" s="49"/>
      <c r="D326" s="49"/>
      <c r="E326" s="49"/>
      <c r="F326" s="49"/>
      <c r="G326" s="50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5.75" customHeight="1">
      <c r="A327" s="49"/>
      <c r="B327" s="49"/>
      <c r="C327" s="49"/>
      <c r="D327" s="49"/>
      <c r="E327" s="49"/>
      <c r="F327" s="49"/>
      <c r="G327" s="50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5.75" customHeight="1">
      <c r="A328" s="49"/>
      <c r="B328" s="49"/>
      <c r="C328" s="49"/>
      <c r="D328" s="49"/>
      <c r="E328" s="49"/>
      <c r="F328" s="49"/>
      <c r="G328" s="50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5.75" customHeight="1">
      <c r="A329" s="49"/>
      <c r="B329" s="49"/>
      <c r="C329" s="49"/>
      <c r="D329" s="49"/>
      <c r="E329" s="49"/>
      <c r="F329" s="49"/>
      <c r="G329" s="50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5.75" customHeight="1">
      <c r="A330" s="49"/>
      <c r="B330" s="49"/>
      <c r="C330" s="49"/>
      <c r="D330" s="49"/>
      <c r="E330" s="49"/>
      <c r="F330" s="49"/>
      <c r="G330" s="50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5.75" customHeight="1">
      <c r="A331" s="49"/>
      <c r="B331" s="49"/>
      <c r="C331" s="49"/>
      <c r="D331" s="49"/>
      <c r="E331" s="49"/>
      <c r="F331" s="49"/>
      <c r="G331" s="50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5.75" customHeight="1">
      <c r="A332" s="49"/>
      <c r="B332" s="49"/>
      <c r="C332" s="49"/>
      <c r="D332" s="49"/>
      <c r="E332" s="49"/>
      <c r="F332" s="49"/>
      <c r="G332" s="50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5.75" customHeight="1">
      <c r="A333" s="49"/>
      <c r="B333" s="49"/>
      <c r="C333" s="49"/>
      <c r="D333" s="49"/>
      <c r="E333" s="49"/>
      <c r="F333" s="49"/>
      <c r="G333" s="50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5.75" customHeight="1">
      <c r="A334" s="49"/>
      <c r="B334" s="49"/>
      <c r="C334" s="49"/>
      <c r="D334" s="49"/>
      <c r="E334" s="49"/>
      <c r="F334" s="49"/>
      <c r="G334" s="50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5.75" customHeight="1">
      <c r="A335" s="49"/>
      <c r="B335" s="49"/>
      <c r="C335" s="49"/>
      <c r="D335" s="49"/>
      <c r="E335" s="49"/>
      <c r="F335" s="49"/>
      <c r="G335" s="50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5.75" customHeight="1">
      <c r="A336" s="49"/>
      <c r="B336" s="49"/>
      <c r="C336" s="49"/>
      <c r="D336" s="49"/>
      <c r="E336" s="49"/>
      <c r="F336" s="49"/>
      <c r="G336" s="50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5.75" customHeight="1">
      <c r="A337" s="49"/>
      <c r="B337" s="49"/>
      <c r="C337" s="49"/>
      <c r="D337" s="49"/>
      <c r="E337" s="49"/>
      <c r="F337" s="49"/>
      <c r="G337" s="50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5.75" customHeight="1">
      <c r="A338" s="49"/>
      <c r="B338" s="49"/>
      <c r="C338" s="49"/>
      <c r="D338" s="49"/>
      <c r="E338" s="49"/>
      <c r="F338" s="49"/>
      <c r="G338" s="50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5.75" customHeight="1">
      <c r="A339" s="49"/>
      <c r="B339" s="49"/>
      <c r="C339" s="49"/>
      <c r="D339" s="49"/>
      <c r="E339" s="49"/>
      <c r="F339" s="49"/>
      <c r="G339" s="50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5.75" customHeight="1">
      <c r="A340" s="49"/>
      <c r="B340" s="49"/>
      <c r="C340" s="49"/>
      <c r="D340" s="49"/>
      <c r="E340" s="49"/>
      <c r="F340" s="49"/>
      <c r="G340" s="50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5.75" customHeight="1">
      <c r="A341" s="49"/>
      <c r="B341" s="49"/>
      <c r="C341" s="49"/>
      <c r="D341" s="49"/>
      <c r="E341" s="49"/>
      <c r="F341" s="49"/>
      <c r="G341" s="50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5.75" customHeight="1">
      <c r="A342" s="49"/>
      <c r="B342" s="49"/>
      <c r="C342" s="49"/>
      <c r="D342" s="49"/>
      <c r="E342" s="49"/>
      <c r="F342" s="49"/>
      <c r="G342" s="50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5.75" customHeight="1">
      <c r="A343" s="49"/>
      <c r="B343" s="49"/>
      <c r="C343" s="49"/>
      <c r="D343" s="49"/>
      <c r="E343" s="49"/>
      <c r="F343" s="49"/>
      <c r="G343" s="50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5.75" customHeight="1">
      <c r="A344" s="49"/>
      <c r="B344" s="49"/>
      <c r="C344" s="49"/>
      <c r="D344" s="49"/>
      <c r="E344" s="49"/>
      <c r="F344" s="49"/>
      <c r="G344" s="50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5.75" customHeight="1">
      <c r="A345" s="49"/>
      <c r="B345" s="49"/>
      <c r="C345" s="49"/>
      <c r="D345" s="49"/>
      <c r="E345" s="49"/>
      <c r="F345" s="49"/>
      <c r="G345" s="50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5.75" customHeight="1">
      <c r="A346" s="49"/>
      <c r="B346" s="49"/>
      <c r="C346" s="49"/>
      <c r="D346" s="49"/>
      <c r="E346" s="49"/>
      <c r="F346" s="49"/>
      <c r="G346" s="50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5.75" customHeight="1">
      <c r="A347" s="49"/>
      <c r="B347" s="49"/>
      <c r="C347" s="49"/>
      <c r="D347" s="49"/>
      <c r="E347" s="49"/>
      <c r="F347" s="49"/>
      <c r="G347" s="50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5.75" customHeight="1">
      <c r="A348" s="49"/>
      <c r="B348" s="49"/>
      <c r="C348" s="49"/>
      <c r="D348" s="49"/>
      <c r="E348" s="49"/>
      <c r="F348" s="49"/>
      <c r="G348" s="50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5.75" customHeight="1">
      <c r="A349" s="49"/>
      <c r="B349" s="49"/>
      <c r="C349" s="49"/>
      <c r="D349" s="49"/>
      <c r="E349" s="49"/>
      <c r="F349" s="49"/>
      <c r="G349" s="50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5.75" customHeight="1">
      <c r="A350" s="49"/>
      <c r="B350" s="49"/>
      <c r="C350" s="49"/>
      <c r="D350" s="49"/>
      <c r="E350" s="49"/>
      <c r="F350" s="49"/>
      <c r="G350" s="50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5.75" customHeight="1">
      <c r="A351" s="49"/>
      <c r="B351" s="49"/>
      <c r="C351" s="49"/>
      <c r="D351" s="49"/>
      <c r="E351" s="49"/>
      <c r="F351" s="49"/>
      <c r="G351" s="50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5.75" customHeight="1">
      <c r="A352" s="49"/>
      <c r="B352" s="49"/>
      <c r="C352" s="49"/>
      <c r="D352" s="49"/>
      <c r="E352" s="49"/>
      <c r="F352" s="49"/>
      <c r="G352" s="50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5.75" customHeight="1">
      <c r="A353" s="49"/>
      <c r="B353" s="49"/>
      <c r="C353" s="49"/>
      <c r="D353" s="49"/>
      <c r="E353" s="49"/>
      <c r="F353" s="49"/>
      <c r="G353" s="50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5.75" customHeight="1">
      <c r="A354" s="49"/>
      <c r="B354" s="49"/>
      <c r="C354" s="49"/>
      <c r="D354" s="49"/>
      <c r="E354" s="49"/>
      <c r="F354" s="49"/>
      <c r="G354" s="50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5.75" customHeight="1">
      <c r="A355" s="49"/>
      <c r="B355" s="49"/>
      <c r="C355" s="49"/>
      <c r="D355" s="49"/>
      <c r="E355" s="49"/>
      <c r="F355" s="49"/>
      <c r="G355" s="50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5.75" customHeight="1">
      <c r="A356" s="49"/>
      <c r="B356" s="49"/>
      <c r="C356" s="49"/>
      <c r="D356" s="49"/>
      <c r="E356" s="49"/>
      <c r="F356" s="49"/>
      <c r="G356" s="50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5.75" customHeight="1">
      <c r="A357" s="49"/>
      <c r="B357" s="49"/>
      <c r="C357" s="49"/>
      <c r="D357" s="49"/>
      <c r="E357" s="49"/>
      <c r="F357" s="49"/>
      <c r="G357" s="50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5.75" customHeight="1">
      <c r="A358" s="49"/>
      <c r="B358" s="49"/>
      <c r="C358" s="49"/>
      <c r="D358" s="49"/>
      <c r="E358" s="49"/>
      <c r="F358" s="49"/>
      <c r="G358" s="50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5.75" customHeight="1">
      <c r="A359" s="49"/>
      <c r="B359" s="49"/>
      <c r="C359" s="49"/>
      <c r="D359" s="49"/>
      <c r="E359" s="49"/>
      <c r="F359" s="49"/>
      <c r="G359" s="50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5.75" customHeight="1">
      <c r="A360" s="49"/>
      <c r="B360" s="49"/>
      <c r="C360" s="49"/>
      <c r="D360" s="49"/>
      <c r="E360" s="49"/>
      <c r="F360" s="49"/>
      <c r="G360" s="50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5.75" customHeight="1">
      <c r="A361" s="49"/>
      <c r="B361" s="49"/>
      <c r="C361" s="49"/>
      <c r="D361" s="49"/>
      <c r="E361" s="49"/>
      <c r="F361" s="49"/>
      <c r="G361" s="50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5.75" customHeight="1">
      <c r="A362" s="49"/>
      <c r="B362" s="49"/>
      <c r="C362" s="49"/>
      <c r="D362" s="49"/>
      <c r="E362" s="49"/>
      <c r="F362" s="49"/>
      <c r="G362" s="50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5.75" customHeight="1">
      <c r="A363" s="49"/>
      <c r="B363" s="49"/>
      <c r="C363" s="49"/>
      <c r="D363" s="49"/>
      <c r="E363" s="49"/>
      <c r="F363" s="49"/>
      <c r="G363" s="50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5.75" customHeight="1">
      <c r="A364" s="49"/>
      <c r="B364" s="49"/>
      <c r="C364" s="49"/>
      <c r="D364" s="49"/>
      <c r="E364" s="49"/>
      <c r="F364" s="49"/>
      <c r="G364" s="50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5.75" customHeight="1">
      <c r="A365" s="49"/>
      <c r="B365" s="49"/>
      <c r="C365" s="49"/>
      <c r="D365" s="49"/>
      <c r="E365" s="49"/>
      <c r="F365" s="49"/>
      <c r="G365" s="50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5.75" customHeight="1">
      <c r="A366" s="49"/>
      <c r="B366" s="49"/>
      <c r="C366" s="49"/>
      <c r="D366" s="49"/>
      <c r="E366" s="49"/>
      <c r="F366" s="49"/>
      <c r="G366" s="50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5.75" customHeight="1">
      <c r="A367" s="49"/>
      <c r="B367" s="49"/>
      <c r="C367" s="49"/>
      <c r="D367" s="49"/>
      <c r="E367" s="49"/>
      <c r="F367" s="49"/>
      <c r="G367" s="50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5.75" customHeight="1">
      <c r="A368" s="49"/>
      <c r="B368" s="49"/>
      <c r="C368" s="49"/>
      <c r="D368" s="49"/>
      <c r="E368" s="49"/>
      <c r="F368" s="49"/>
      <c r="G368" s="50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6">
    <mergeCell ref="A1:G1"/>
    <mergeCell ref="C166:D166"/>
    <mergeCell ref="C167:D167"/>
    <mergeCell ref="G169:G170"/>
    <mergeCell ref="B171:F172"/>
    <mergeCell ref="G171:G172"/>
    <mergeCell ref="C178:D178"/>
    <mergeCell ref="C241:D241"/>
    <mergeCell ref="C242:D242"/>
    <mergeCell ref="C179:D179"/>
    <mergeCell ref="A184:G184"/>
    <mergeCell ref="C207:D207"/>
    <mergeCell ref="C208:D208"/>
    <mergeCell ref="C211:D211"/>
    <mergeCell ref="C212:D212"/>
    <mergeCell ref="A217:G217"/>
  </mergeCells>
  <printOptions/>
  <pageMargins bottom="0.7875" footer="0.0" header="0.0" left="0.7875" right="0.7875" top="0.7875"/>
  <pageSetup paperSize="9" scale="27" orientation="landscape"/>
  <drawing r:id="rId1"/>
</worksheet>
</file>